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94d3a319342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onical ADMET Profile" sheetId="1" r:id="R4cb10f520083453c"/>
    <x:sheet xmlns:r="http://schemas.openxmlformats.org/officeDocument/2006/relationships" name="Record-Level Audit" sheetId="2" r:id="Rd7006ac68d374190"/>
    <x:sheet xmlns:r="http://schemas.openxmlformats.org/officeDocument/2006/relationships" name="Duplicate Prediction Audit" sheetId="3" r:id="Read9b26e745b487d"/>
    <x:sheet xmlns:r="http://schemas.openxmlformats.org/officeDocument/2006/relationships" name="Endpoint Dictionary" sheetId="4" r:id="R0e9ca0efac964723"/>
    <x:sheet xmlns:r="http://schemas.openxmlformats.org/officeDocument/2006/relationships" name="Audit Conclusions" sheetId="5" r:id="Rd99bcf0bba7747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e441437f394c9e" /><Relationship Type="http://schemas.openxmlformats.org/officeDocument/2006/relationships/theme" Target="/xl/theme/theme1.xml" Id="Raf43c1c2373141c8" /><Relationship Type="http://schemas.openxmlformats.org/officeDocument/2006/relationships/sharedStrings" Target="/xl/sharedStrings.xml" Id="Rd80ea696ec7043b7" /><Relationship Type="http://schemas.openxmlformats.org/officeDocument/2006/relationships/worksheet" Target="/xl/worksheets/sheet1.xml" Id="R4cb10f520083453c" /><Relationship Type="http://schemas.openxmlformats.org/officeDocument/2006/relationships/worksheet" Target="/xl/worksheets/sheet2.xml" Id="Rd7006ac68d374190" /><Relationship Type="http://schemas.openxmlformats.org/officeDocument/2006/relationships/worksheet" Target="/xl/worksheets/sheet3.xml" Id="Read9b26e745b487d" /><Relationship Type="http://schemas.openxmlformats.org/officeDocument/2006/relationships/worksheet" Target="/xl/worksheets/sheet4.xml" Id="R0e9ca0efac964723" /><Relationship Type="http://schemas.openxmlformats.org/officeDocument/2006/relationships/worksheet" Target="/xl/worksheets/sheet5.xml" Id="Rd99bcf0bba7747ca" /></Relationships>
</file>

<file path=xl/tables/table1.xml><?xml version="1.0" encoding="utf-8"?>
<x:table xmlns:x="http://schemas.openxmlformats.org/spreadsheetml/2006/main" id="1" name="CanonicalADMETTable" displayName="CanonicalADMETTable" ref="A1:M17" headerRowCount="1">
  <x:tableColumns count="13">
    <x:tableColumn id="1" name="Final_Canonical_ID"/>
    <x:tableColumn id="2" name="Primary_Legacy_ID"/>
    <x:tableColumn id="3" name="All_ADMET_Rows"/>
    <x:tableColumn id="4" name="Canonical_SMILES"/>
    <x:tableColumn id="5" name="InChIKey"/>
    <x:tableColumn id="6" name="Number_of_ADMET_Runs"/>
    <x:tableColumn id="7" name="Duplicate_Prediction_Consistency"/>
    <x:tableColumn id="8" name="BBB_Assessment"/>
    <x:tableColumn id="9" name="Pgp_Assessment"/>
    <x:tableColumn id="10" name="Safety_Assessment"/>
    <x:tableColumn id="11" name="Medicinal_Chemistry_Alerts"/>
    <x:tableColumn id="12" name="Synthetic_Accessibility_Status"/>
    <x:tableColumn id="13" name="Canonical_ADMET_Conclusion"/>
  </x:tableColumns>
  <x:tableStyleInfo name="TableStyleMedium2" showRowStripes="1"/>
</x:table>
</file>

<file path=xl/tables/table2.xml><?xml version="1.0" encoding="utf-8"?>
<x:table xmlns:x="http://schemas.openxmlformats.org/spreadsheetml/2006/main" id="2" name="RecordLevelADMETTable" displayName="RecordLevelADMETTable" ref="A1:AB19" headerRowCount="1">
  <x:tableColumns count="28">
    <x:tableColumn id="1" name="Final_Canonical_ID"/>
    <x:tableColumn id="2" name="Canonical_Legacy_ID"/>
    <x:tableColumn id="3" name="Legacy_ADMET_Row"/>
    <x:tableColumn id="4" name="Original_Enumeration_Label"/>
    <x:tableColumn id="5" name="Canonical_SMILES"/>
    <x:tableColumn id="6" name="InChIKey"/>
    <x:tableColumn id="7" name="Duplicate_Structure"/>
    <x:tableColumn id="8" name="BBB_logBB_pkCSM"/>
    <x:tableColumn id="9" name="CNS_logPS_pkCSM"/>
    <x:tableColumn id="10" name="BBB_SwissADME"/>
    <x:tableColumn id="11" name="BBB_Model_Consensus"/>
    <x:tableColumn id="12" name="Pgp_pkCSM"/>
    <x:tableColumn id="13" name="Pgp_SwissADME"/>
    <x:tableColumn id="14" name="Pgp_Model_Consensus"/>
    <x:tableColumn id="15" name="Consensus_LogP"/>
    <x:tableColumn id="16" name="TPSA"/>
    <x:tableColumn id="17" name="ESOL_LogS"/>
    <x:tableColumn id="18" name="Ames"/>
    <x:tableColumn id="19" name="hERG_I"/>
    <x:tableColumn id="20" name="hERG_II"/>
    <x:tableColumn id="21" name="Hepatotoxicity"/>
    <x:tableColumn id="22" name="Safety_Alert_Summary"/>
    <x:tableColumn id="23" name="Safety_Profile"/>
    <x:tableColumn id="24" name="PAINS_Alerts"/>
    <x:tableColumn id="25" name="Brenk_Alerts"/>
    <x:tableColumn id="26" name="Synthetic_Accessibility_Separate"/>
    <x:tableColumn id="27" name="Old_Decision_Score_Retired"/>
    <x:tableColumn id="28" name="Audit_Interpretation"/>
  </x:tableColumns>
  <x:tableStyleInfo name="TableStyleMedium2" showRowStripes="1"/>
</x:table>
</file>

<file path=xl/tables/table3.xml><?xml version="1.0" encoding="utf-8"?>
<x:table xmlns:x="http://schemas.openxmlformats.org/spreadsheetml/2006/main" id="3" name="DuplicatePredictionTable" displayName="DuplicatePredictionTable" ref="A1:H31" headerRowCount="1">
  <x:tableColumns count="8">
    <x:tableColumn id="1" name="Final_Canonical_ID"/>
    <x:tableColumn id="2" name="Legacy_Row_1"/>
    <x:tableColumn id="3" name="Legacy_Row_2"/>
    <x:tableColumn id="4" name="Endpoint"/>
    <x:tableColumn id="5" name="Value_1"/>
    <x:tableColumn id="6" name="Value_2"/>
    <x:tableColumn id="7" name="Same"/>
    <x:tableColumn id="8" name="Audit_Consequence"/>
  </x:tableColumns>
  <x:tableStyleInfo name="TableStyleMedium2" showRowStripes="1"/>
</x:table>
</file>

<file path=xl/tables/table4.xml><?xml version="1.0" encoding="utf-8"?>
<x:table xmlns:x="http://schemas.openxmlformats.org/spreadsheetml/2006/main" id="4" name="EndpointDictionaryTable" displayName="EndpointDictionaryTable" ref="A1:E13" headerRowCount="1">
  <x:tableColumns count="5">
    <x:tableColumn id="1" name="Domain"/>
    <x:tableColumn id="2" name="Endpoint"/>
    <x:tableColumn id="3" name="Source"/>
    <x:tableColumn id="4" name="Interpretation"/>
    <x:tableColumn id="5" name="Use_in_Revised_Analysi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04c505fadf4b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215331bd2245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3b3df0a2cc744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cb8e2101c8245a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9" hidden="0" customWidth="1"/>
    <x:col min="3" max="3" width="16" hidden="0" customWidth="1"/>
    <x:col min="4" max="4" width="42" hidden="0" customWidth="1"/>
    <x:col min="5" max="5" width="29" hidden="0" customWidth="1"/>
    <x:col min="6" max="6" width="22" hidden="0" customWidth="1"/>
    <x:col min="7" max="7" width="24" hidden="0" customWidth="1"/>
    <x:col min="8" max="8" width="34" hidden="0" customWidth="1"/>
    <x:col min="9" max="9" width="34" hidden="0" customWidth="1"/>
    <x:col min="10" max="10" width="34" hidden="0" customWidth="1"/>
    <x:col min="11" max="11" width="24" hidden="0" customWidth="1"/>
    <x:col min="12" max="12" width="24" hidden="0" customWidth="1"/>
    <x:col min="13" max="13" width="34" hidden="0" customWidth="1"/>
  </x:cols>
  <x:sheetData>
    <x:row r="1" ht="38" customHeight="1">
      <x:c r="A1" s="6" t="str">
        <x:v>Final_Canonical_ID</x:v>
      </x:c>
      <x:c r="B1" s="6" t="str">
        <x:v>Primary_Legacy_ID</x:v>
      </x:c>
      <x:c r="C1" s="6" t="str">
        <x:v>All_ADMET_Rows</x:v>
      </x:c>
      <x:c r="D1" s="6" t="str">
        <x:v>Canonical_SMILES</x:v>
      </x:c>
      <x:c r="E1" s="6" t="str">
        <x:v>InChIKey</x:v>
      </x:c>
      <x:c r="F1" s="6" t="str">
        <x:v>Number_of_ADMET_Runs</x:v>
      </x:c>
      <x:c r="G1" s="6" t="str">
        <x:v>Duplicate_Prediction_Consistency</x:v>
      </x:c>
      <x:c r="H1" s="6" t="str">
        <x:v>BBB_Assessment</x:v>
      </x:c>
      <x:c r="I1" s="6" t="str">
        <x:v>Pgp_Assessment</x:v>
      </x:c>
      <x:c r="J1" s="6" t="str">
        <x:v>Safety_Assessment</x:v>
      </x:c>
      <x:c r="K1" s="6" t="str">
        <x:v>Medicinal_Chemistry_Alerts</x:v>
      </x:c>
      <x:c r="L1" s="6" t="str">
        <x:v>Synthetic_Accessibility_Status</x:v>
      </x:c>
      <x:c r="M1" s="6" t="str">
        <x:v>Canonical_ADMET_Conclusion</x:v>
      </x:c>
    </x:row>
    <x:row r="2">
      <x:c r="A2" s="14" t="str">
        <x:v>TSPO-C01</x:v>
      </x:c>
      <x:c r="B2" s="14" t="str">
        <x:v>A1</x:v>
      </x:c>
      <x:c r="C2" s="14" t="str">
        <x:v>A1, A9</x:v>
      </x:c>
      <x:c r="D2" s="14" t="str">
        <x:v>CCN(Cc1ccc(OC(F)(F)F)cc1)C(=O)Cn1c(=O)n(C)c2cnc(-c3ccccc3)nc21</x:v>
      </x:c>
      <x:c r="E2" s="14" t="str">
        <x:v>RYAVPURPEWUCGR-UHFFFAOYSA-N</x:v>
      </x:c>
      <x:c r="F2" s="14" t="n">
        <x:v>2</x:v>
      </x:c>
      <x:c r="G2" s="14" t="str">
        <x:v>Concordant duplicate predictions</x:v>
      </x:c>
      <x:c r="H2" s="14" t="str">
        <x:v>Concordant nonsupportive</x:v>
      </x:c>
      <x:c r="I2" s="14" t="str">
        <x:v>Discordant</x:v>
      </x:c>
      <x:c r="J2" s="14" t="str">
        <x:v>Ames; hERG II</x:v>
      </x:c>
      <x:c r="K2" s="14" t="str">
        <x:v>PAINS 0; Brenk 0</x:v>
      </x:c>
      <x:c r="L2" s="14" t="str">
        <x:v>Reported separately; not part of ADMET conclusion</x:v>
      </x:c>
      <x:c r="M2" s="14" t="str">
        <x:v>Mixed/higher modeled safety concern; experimental confirmation required</x:v>
      </x:c>
    </x:row>
    <x:row r="3">
      <x:c r="A3" s="14" t="str">
        <x:v>TSPO-C02</x:v>
      </x:c>
      <x:c r="B3" s="14" t="str">
        <x:v>A2</x:v>
      </x:c>
      <x:c r="C3" s="14" t="str">
        <x:v>A2</x:v>
      </x:c>
      <x:c r="D3" s="14" t="str">
        <x:v>CCN(Cc1ccc(OC(F)F)cc1)C(=O)Cn1c(=O)n(C)c2cnc(-c3ccccc3)nc21</x:v>
      </x:c>
      <x:c r="E3" s="14" t="str">
        <x:v>JYGZVVWKPOSECN-UHFFFAOYSA-N</x:v>
      </x:c>
      <x:c r="F3" s="14" t="n">
        <x:v>1</x:v>
      </x:c>
      <x:c r="G3" s="14" t="str">
        <x:v>Single prediction record</x:v>
      </x:c>
      <x:c r="H3" s="14" t="str">
        <x:v>Concordant nonsupportive</x:v>
      </x:c>
      <x:c r="I3" s="14" t="str">
        <x:v>Discordant</x:v>
      </x:c>
      <x:c r="J3" s="14" t="str">
        <x:v>Ames; hERG II</x:v>
      </x:c>
      <x:c r="K3" s="14" t="str">
        <x:v>PAINS 0; Brenk 0</x:v>
      </x:c>
      <x:c r="L3" s="14" t="str">
        <x:v>Reported separately; not part of ADMET conclusion</x:v>
      </x:c>
      <x:c r="M3" s="14" t="str">
        <x:v>Mixed/higher modeled safety concern; experimental confirmation required</x:v>
      </x:c>
    </x:row>
    <x:row r="4">
      <x:c r="A4" s="14" t="str">
        <x:v>TSPO-C03</x:v>
      </x:c>
      <x:c r="B4" s="14" t="str">
        <x:v>A3</x:v>
      </x:c>
      <x:c r="C4" s="14" t="str">
        <x:v>A3</x:v>
      </x:c>
      <x:c r="D4" s="14" t="str">
        <x:v>CCN(Cc1ccccc1)C(=O)Cn1c(=O)n(CC(F)(F)F)c2cnc(-c3ccccc3)nc21</x:v>
      </x:c>
      <x:c r="E4" s="14" t="str">
        <x:v>IVVCXQQZEMWNOK-UHFFFAOYSA-N</x:v>
      </x:c>
      <x:c r="F4" s="14" t="n">
        <x:v>1</x:v>
      </x:c>
      <x:c r="G4" s="14" t="str">
        <x:v>Single prediction record</x:v>
      </x:c>
      <x:c r="H4" s="14" t="str">
        <x:v>Discordant</x:v>
      </x:c>
      <x:c r="I4" s="14" t="str">
        <x:v>Discordant</x:v>
      </x:c>
      <x:c r="J4" s="14" t="str">
        <x:v>hERG II</x:v>
      </x:c>
      <x:c r="K4" s="14" t="str">
        <x:v>PAINS 0; Brenk 0</x:v>
      </x:c>
      <x:c r="L4" s="14" t="str">
        <x:v>Reported separately; not part of ADMET conclusion</x:v>
      </x:c>
      <x:c r="M4" s="14" t="str">
        <x:v>Mixed or model-discordant predicted profile</x:v>
      </x:c>
    </x:row>
    <x:row r="5">
      <x:c r="A5" s="14" t="str">
        <x:v>TSPO-C04</x:v>
      </x:c>
      <x:c r="B5" s="14" t="str">
        <x:v>A4</x:v>
      </x:c>
      <x:c r="C5" s="14" t="str">
        <x:v>A4</x:v>
      </x:c>
      <x:c r="D5" s="14" t="str">
        <x:v>CCN(Cc1ccc(F)cc1)C(=O)Cn1c(=O)n(C)c2cnc(-c3ccccc3)nc21</x:v>
      </x:c>
      <x:c r="E5" s="14" t="str">
        <x:v>FBNPWDKOHCTAFT-UHFFFAOYSA-N</x:v>
      </x:c>
      <x:c r="F5" s="14" t="n">
        <x:v>1</x:v>
      </x:c>
      <x:c r="G5" s="14" t="str">
        <x:v>Single prediction record</x:v>
      </x:c>
      <x:c r="H5" s="14" t="str">
        <x:v>Concordant supportive</x:v>
      </x:c>
      <x:c r="I5" s="14" t="str">
        <x:v>Discordant</x:v>
      </x:c>
      <x:c r="J5" s="14" t="str">
        <x:v>Ames; hERG II</x:v>
      </x:c>
      <x:c r="K5" s="14" t="str">
        <x:v>PAINS 0; Brenk 0</x:v>
      </x:c>
      <x:c r="L5" s="14" t="str">
        <x:v>Reported separately; not part of ADMET conclusion</x:v>
      </x:c>
      <x:c r="M5" s="14" t="str">
        <x:v>Mixed/higher modeled safety concern; experimental confirmation required</x:v>
      </x:c>
    </x:row>
    <x:row r="6">
      <x:c r="A6" s="14" t="str">
        <x:v>TSPO-C05</x:v>
      </x:c>
      <x:c r="B6" s="14" t="str">
        <x:v>A5</x:v>
      </x:c>
      <x:c r="C6" s="14" t="str">
        <x:v>A5</x:v>
      </x:c>
      <x:c r="D6" s="14" t="str">
        <x:v>CCN(Cc1ccc(F)cc1F)C(=O)Cn1c(=O)n(CCF)c2cnc(-c3ccccc3)nc21</x:v>
      </x:c>
      <x:c r="E6" s="14" t="str">
        <x:v>JZWMBORVCJYGRM-UHFFFAOYSA-N</x:v>
      </x:c>
      <x:c r="F6" s="14" t="n">
        <x:v>1</x:v>
      </x:c>
      <x:c r="G6" s="14" t="str">
        <x:v>Single prediction record</x:v>
      </x:c>
      <x:c r="H6" s="14" t="str">
        <x:v>Concordant nonsupportive</x:v>
      </x:c>
      <x:c r="I6" s="14" t="str">
        <x:v>Discordant</x:v>
      </x:c>
      <x:c r="J6" s="14" t="str">
        <x:v>hERG II</x:v>
      </x:c>
      <x:c r="K6" s="14" t="str">
        <x:v>PAINS 0; Brenk 0</x:v>
      </x:c>
      <x:c r="L6" s="14" t="str">
        <x:v>Reported separately; not part of ADMET conclusion</x:v>
      </x:c>
      <x:c r="M6" s="14" t="str">
        <x:v>Mixed or model-discordant predicted profile</x:v>
      </x:c>
    </x:row>
    <x:row r="7">
      <x:c r="A7" s="14" t="str">
        <x:v>TSPO-C06</x:v>
      </x:c>
      <x:c r="B7" s="14" t="str">
        <x:v>A6</x:v>
      </x:c>
      <x:c r="C7" s="14" t="str">
        <x:v>A6</x:v>
      </x:c>
      <x:c r="D7" s="14" t="str">
        <x:v>CCN(Cc1cc(F)ccc1F)C(=O)Cn1c(=O)n(C)c2cnc(-c3ccccc3)nc21</x:v>
      </x:c>
      <x:c r="E7" s="14" t="str">
        <x:v>ROISXNCPSSLCOO-UHFFFAOYSA-N</x:v>
      </x:c>
      <x:c r="F7" s="14" t="n">
        <x:v>1</x:v>
      </x:c>
      <x:c r="G7" s="14" t="str">
        <x:v>Single prediction record</x:v>
      </x:c>
      <x:c r="H7" s="14" t="str">
        <x:v>Discordant</x:v>
      </x:c>
      <x:c r="I7" s="14" t="str">
        <x:v>Discordant</x:v>
      </x:c>
      <x:c r="J7" s="14" t="str">
        <x:v>Ames; hERG II</x:v>
      </x:c>
      <x:c r="K7" s="14" t="str">
        <x:v>PAINS 0; Brenk 0</x:v>
      </x:c>
      <x:c r="L7" s="14" t="str">
        <x:v>Reported separately; not part of ADMET conclusion</x:v>
      </x:c>
      <x:c r="M7" s="14" t="str">
        <x:v>Mixed/higher modeled safety concern; experimental confirmation required</x:v>
      </x:c>
    </x:row>
    <x:row r="8">
      <x:c r="A8" s="14" t="str">
        <x:v>TSPO-C07</x:v>
      </x:c>
      <x:c r="B8" s="14" t="str">
        <x:v>A7</x:v>
      </x:c>
      <x:c r="C8" s="14" t="str">
        <x:v>A7</x:v>
      </x:c>
      <x:c r="D8" s="14" t="str">
        <x:v>CCN(Cc1cc(F)ccc1F)C(=O)Cn1c(=O)n(C(F)F)c2cnc(-c3ccccc3)nc21</x:v>
      </x:c>
      <x:c r="E8" s="14" t="str">
        <x:v>WGQOACSSQOYZLN-UHFFFAOYSA-N</x:v>
      </x:c>
      <x:c r="F8" s="14" t="n">
        <x:v>1</x:v>
      </x:c>
      <x:c r="G8" s="14" t="str">
        <x:v>Single prediction record</x:v>
      </x:c>
      <x:c r="H8" s="14" t="str">
        <x:v>Concordant nonsupportive</x:v>
      </x:c>
      <x:c r="I8" s="14" t="str">
        <x:v>Discordant</x:v>
      </x:c>
      <x:c r="J8" s="14" t="str">
        <x:v>hERG II</x:v>
      </x:c>
      <x:c r="K8" s="14" t="str">
        <x:v>PAINS 0; Brenk 0</x:v>
      </x:c>
      <x:c r="L8" s="14" t="str">
        <x:v>Reported separately; not part of ADMET conclusion</x:v>
      </x:c>
      <x:c r="M8" s="14" t="str">
        <x:v>Mixed or model-discordant predicted profile</x:v>
      </x:c>
    </x:row>
    <x:row r="9">
      <x:c r="A9" s="14" t="str">
        <x:v>TSPO-C08</x:v>
      </x:c>
      <x:c r="B9" s="14" t="str">
        <x:v>A8</x:v>
      </x:c>
      <x:c r="C9" s="14" t="str">
        <x:v>A8, A15</x:v>
      </x:c>
      <x:c r="D9" s="14" t="str">
        <x:v>CCN(Cc1cc(Cl)ccc1Cl)C(=O)Cn1c(=O)n(C)c2cnc(-c3ccccc3)nc21</x:v>
      </x:c>
      <x:c r="E9" s="14" t="str">
        <x:v>SKIRNMQWXSZAMC-UHFFFAOYSA-N</x:v>
      </x:c>
      <x:c r="F9" s="14" t="n">
        <x:v>2</x:v>
      </x:c>
      <x:c r="G9" s="14" t="str">
        <x:v>Discordant duplicate predictions</x:v>
      </x:c>
      <x:c r="H9" s="14" t="str">
        <x:v>Concordant supportive</x:v>
      </x:c>
      <x:c r="I9" s="14" t="str">
        <x:v>Discordant</x:v>
      </x:c>
      <x:c r="J9" s="14" t="str">
        <x:v>Duplicate runs disagree: Ames; hERG II | hERG II</x:v>
      </x:c>
      <x:c r="K9" s="14" t="str">
        <x:v>PAINS 0; Brenk 0</x:v>
      </x:c>
      <x:c r="L9" s="14" t="str">
        <x:v>Reported separately; not part of ADMET conclusion</x:v>
      </x:c>
      <x:c r="M9" s="14" t="str">
        <x:v>Prediction instability for identical structure; do not select favorable duplicate result</x:v>
      </x:c>
    </x:row>
    <x:row r="10">
      <x:c r="A10" s="14" t="str">
        <x:v>TSPO-C09</x:v>
      </x:c>
      <x:c r="B10" s="14" t="str">
        <x:v>A10</x:v>
      </x:c>
      <x:c r="C10" s="14" t="str">
        <x:v>A10</x:v>
      </x:c>
      <x:c r="D10" s="14" t="str">
        <x:v>CCN(Cc1ccc(OC)cc1)C(=O)Cn1c(=O)n(CC(F)(F)F)c2cnc(-c3ccccc3)nc21</x:v>
      </x:c>
      <x:c r="E10" s="14" t="str">
        <x:v>CRJOUMHDHKDKMB-UHFFFAOYSA-N</x:v>
      </x:c>
      <x:c r="F10" s="14" t="n">
        <x:v>1</x:v>
      </x:c>
      <x:c r="G10" s="14" t="str">
        <x:v>Single prediction record</x:v>
      </x:c>
      <x:c r="H10" s="14" t="str">
        <x:v>Concordant nonsupportive</x:v>
      </x:c>
      <x:c r="I10" s="14" t="str">
        <x:v>Discordant</x:v>
      </x:c>
      <x:c r="J10" s="14" t="str">
        <x:v>hERG II; Hepatotoxicity</x:v>
      </x:c>
      <x:c r="K10" s="14" t="str">
        <x:v>PAINS 0; Brenk 0</x:v>
      </x:c>
      <x:c r="L10" s="14" t="str">
        <x:v>Reported separately; not part of ADMET conclusion</x:v>
      </x:c>
      <x:c r="M10" s="14" t="str">
        <x:v>Mixed/higher modeled safety concern; experimental confirmation required</x:v>
      </x:c>
    </x:row>
    <x:row r="11">
      <x:c r="A11" s="14" t="str">
        <x:v>TSPO-C10</x:v>
      </x:c>
      <x:c r="B11" s="14" t="str">
        <x:v>A11</x:v>
      </x:c>
      <x:c r="C11" s="14" t="str">
        <x:v>A11</x:v>
      </x:c>
      <x:c r="D11" s="14" t="str">
        <x:v>CCN(Cc1ccccc1)C(=O)Cn1c(=O)n(COC(F)(F)F)c2cnc(-c3ccccc3)nc21</x:v>
      </x:c>
      <x:c r="E11" s="14" t="str">
        <x:v>QJCBKXCGKKCQEH-UHFFFAOYSA-N</x:v>
      </x:c>
      <x:c r="F11" s="14" t="n">
        <x:v>1</x:v>
      </x:c>
      <x:c r="G11" s="14" t="str">
        <x:v>Single prediction record</x:v>
      </x:c>
      <x:c r="H11" s="14" t="str">
        <x:v>Concordant nonsupportive</x:v>
      </x:c>
      <x:c r="I11" s="14" t="str">
        <x:v>Discordant</x:v>
      </x:c>
      <x:c r="J11" s="14" t="str">
        <x:v>hERG II</x:v>
      </x:c>
      <x:c r="K11" s="14" t="str">
        <x:v>PAINS 0; Brenk 0</x:v>
      </x:c>
      <x:c r="L11" s="14" t="str">
        <x:v>Reported separately; not part of ADMET conclusion</x:v>
      </x:c>
      <x:c r="M11" s="14" t="str">
        <x:v>Mixed or model-discordant predicted profile</x:v>
      </x:c>
    </x:row>
    <x:row r="12">
      <x:c r="A12" s="14" t="str">
        <x:v>TSPO-C11</x:v>
      </x:c>
      <x:c r="B12" s="14" t="str">
        <x:v>A12</x:v>
      </x:c>
      <x:c r="C12" s="14" t="str">
        <x:v>A12</x:v>
      </x:c>
      <x:c r="D12" s="14" t="str">
        <x:v>CCN(Cc1cccc(F)c1)C(=O)Cn1c(=O)n(CC(F)(F)F)c2cnc(-c3ccccc3)nc21</x:v>
      </x:c>
      <x:c r="E12" s="14" t="str">
        <x:v>ZYDUWLRQXDFWQH-UHFFFAOYSA-N</x:v>
      </x:c>
      <x:c r="F12" s="14" t="n">
        <x:v>1</x:v>
      </x:c>
      <x:c r="G12" s="14" t="str">
        <x:v>Single prediction record</x:v>
      </x:c>
      <x:c r="H12" s="14" t="str">
        <x:v>Concordant nonsupportive</x:v>
      </x:c>
      <x:c r="I12" s="14" t="str">
        <x:v>Discordant</x:v>
      </x:c>
      <x:c r="J12" s="14" t="str">
        <x:v>hERG II; Hepatotoxicity</x:v>
      </x:c>
      <x:c r="K12" s="14" t="str">
        <x:v>PAINS 0; Brenk 0</x:v>
      </x:c>
      <x:c r="L12" s="14" t="str">
        <x:v>Reported separately; not part of ADMET conclusion</x:v>
      </x:c>
      <x:c r="M12" s="14" t="str">
        <x:v>Mixed/higher modeled safety concern; experimental confirmation required</x:v>
      </x:c>
    </x:row>
    <x:row r="13">
      <x:c r="A13" s="14" t="str">
        <x:v>TSPO-C12</x:v>
      </x:c>
      <x:c r="B13" s="14" t="str">
        <x:v>A13</x:v>
      </x:c>
      <x:c r="C13" s="14" t="str">
        <x:v>A13</x:v>
      </x:c>
      <x:c r="D13" s="14" t="str">
        <x:v>CCN(Cc1cccc(Cl)c1)C(=O)Cn1c(=O)n(CF)c2cnc(-c3ccccc3)nc21</x:v>
      </x:c>
      <x:c r="E13" s="14" t="str">
        <x:v>MKUDPGPAVJRDEW-UHFFFAOYSA-N</x:v>
      </x:c>
      <x:c r="F13" s="14" t="n">
        <x:v>1</x:v>
      </x:c>
      <x:c r="G13" s="14" t="str">
        <x:v>Single prediction record</x:v>
      </x:c>
      <x:c r="H13" s="14" t="str">
        <x:v>Discordant</x:v>
      </x:c>
      <x:c r="I13" s="14" t="str">
        <x:v>Discordant</x:v>
      </x:c>
      <x:c r="J13" s="14" t="str">
        <x:v>hERG II; Hepatotoxicity</x:v>
      </x:c>
      <x:c r="K13" s="14" t="str">
        <x:v>PAINS 0; Brenk 0</x:v>
      </x:c>
      <x:c r="L13" s="14" t="str">
        <x:v>Reported separately; not part of ADMET conclusion</x:v>
      </x:c>
      <x:c r="M13" s="14" t="str">
        <x:v>Mixed/higher modeled safety concern; experimental confirmation required</x:v>
      </x:c>
    </x:row>
    <x:row r="14">
      <x:c r="A14" s="14" t="str">
        <x:v>TSPO-C13</x:v>
      </x:c>
      <x:c r="B14" s="14" t="str">
        <x:v>A14</x:v>
      </x:c>
      <x:c r="C14" s="14" t="str">
        <x:v>A14</x:v>
      </x:c>
      <x:c r="D14" s="14" t="str">
        <x:v>CCCn1c(=O)n(CC(=O)N(CC)Cc2ccc(F)cc2F)c2nc(-c3ccccc3)ncc21</x:v>
      </x:c>
      <x:c r="E14" s="14" t="str">
        <x:v>XBLUWJWIYJRLOW-UHFFFAOYSA-N</x:v>
      </x:c>
      <x:c r="F14" s="14" t="n">
        <x:v>1</x:v>
      </x:c>
      <x:c r="G14" s="14" t="str">
        <x:v>Single prediction record</x:v>
      </x:c>
      <x:c r="H14" s="14" t="str">
        <x:v>Concordant nonsupportive</x:v>
      </x:c>
      <x:c r="I14" s="14" t="str">
        <x:v>Discordant</x:v>
      </x:c>
      <x:c r="J14" s="14" t="str">
        <x:v>hERG II</x:v>
      </x:c>
      <x:c r="K14" s="14" t="str">
        <x:v>PAINS 0; Brenk 0</x:v>
      </x:c>
      <x:c r="L14" s="14" t="str">
        <x:v>Reported separately; not part of ADMET conclusion</x:v>
      </x:c>
      <x:c r="M14" s="14" t="str">
        <x:v>Mixed or model-discordant predicted profile</x:v>
      </x:c>
    </x:row>
    <x:row r="15">
      <x:c r="A15" s="14" t="str">
        <x:v>TSPO-C14</x:v>
      </x:c>
      <x:c r="B15" s="14" t="str">
        <x:v>A16</x:v>
      </x:c>
      <x:c r="C15" s="14" t="str">
        <x:v>A16</x:v>
      </x:c>
      <x:c r="D15" s="14" t="str">
        <x:v>CCN(Cc1cc(OC)ccc1F)C(=O)Cn1c(=O)n(C(F)F)c2cnc(-c3ccccc3)nc21</x:v>
      </x:c>
      <x:c r="E15" s="14" t="str">
        <x:v>VTEVIRHJCWWDGU-UHFFFAOYSA-N</x:v>
      </x:c>
      <x:c r="F15" s="14" t="n">
        <x:v>1</x:v>
      </x:c>
      <x:c r="G15" s="14" t="str">
        <x:v>Single prediction record</x:v>
      </x:c>
      <x:c r="H15" s="14" t="str">
        <x:v>Concordant nonsupportive</x:v>
      </x:c>
      <x:c r="I15" s="14" t="str">
        <x:v>Discordant</x:v>
      </x:c>
      <x:c r="J15" s="14" t="str">
        <x:v>hERG II</x:v>
      </x:c>
      <x:c r="K15" s="14" t="str">
        <x:v>PAINS 0; Brenk 0</x:v>
      </x:c>
      <x:c r="L15" s="14" t="str">
        <x:v>Reported separately; not part of ADMET conclusion</x:v>
      </x:c>
      <x:c r="M15" s="14" t="str">
        <x:v>Mixed or model-discordant predicted profile</x:v>
      </x:c>
    </x:row>
    <x:row r="16">
      <x:c r="A16" s="14" t="str">
        <x:v>TSPO-C15</x:v>
      </x:c>
      <x:c r="B16" s="14" t="str">
        <x:v>A17</x:v>
      </x:c>
      <x:c r="C16" s="14" t="str">
        <x:v>A17</x:v>
      </x:c>
      <x:c r="D16" s="14" t="str">
        <x:v>CCN(Cc1cc(F)ccc1C(F)(F)F)C(=O)Cn1c(=O)n(C)c2cnc(-c3ccccc3)nc21</x:v>
      </x:c>
      <x:c r="E16" s="14" t="str">
        <x:v>BMDVLVHNGCQESR-UHFFFAOYSA-N</x:v>
      </x:c>
      <x:c r="F16" s="14" t="n">
        <x:v>1</x:v>
      </x:c>
      <x:c r="G16" s="14" t="str">
        <x:v>Single prediction record</x:v>
      </x:c>
      <x:c r="H16" s="14" t="str">
        <x:v>Concordant nonsupportive</x:v>
      </x:c>
      <x:c r="I16" s="14" t="str">
        <x:v>Discordant</x:v>
      </x:c>
      <x:c r="J16" s="14" t="str">
        <x:v>hERG II</x:v>
      </x:c>
      <x:c r="K16" s="14" t="str">
        <x:v>PAINS 0; Brenk 0</x:v>
      </x:c>
      <x:c r="L16" s="14" t="str">
        <x:v>Reported separately; not part of ADMET conclusion</x:v>
      </x:c>
      <x:c r="M16" s="14" t="str">
        <x:v>Mixed or model-discordant predicted profile</x:v>
      </x:c>
    </x:row>
    <x:row r="17">
      <x:c r="A17" s="14" t="str">
        <x:v>REF-AC5216</x:v>
      </x:c>
      <x:c r="B17" s="14" t="str">
        <x:v>AC-5216</x:v>
      </x:c>
      <x:c r="C17" s="14" t="str">
        <x:v>AC-5216</x:v>
      </x:c>
      <x:c r="D17" s="14" t="str">
        <x:v>CCN(Cc1ccccc1)C(=O)Cn1c(=O)n(C)c2cnc(-c3ccccc3)nc21</x:v>
      </x:c>
      <x:c r="E17" s="14" t="str">
        <x:v>NBMBIEOUVBHEBM-UHFFFAOYSA-N</x:v>
      </x:c>
      <x:c r="F17" s="14" t="n">
        <x:v>1</x:v>
      </x:c>
      <x:c r="G17" s="14" t="str">
        <x:v>Single prediction record</x:v>
      </x:c>
      <x:c r="H17" s="14" t="str">
        <x:v>Concordant supportive</x:v>
      </x:c>
      <x:c r="I17" s="14" t="str">
        <x:v>Discordant</x:v>
      </x:c>
      <x:c r="J17" s="14" t="str">
        <x:v>Ames; hERG II</x:v>
      </x:c>
      <x:c r="K17" s="14" t="str">
        <x:v>PAINS 0; Brenk 0</x:v>
      </x:c>
      <x:c r="L17" s="14" t="str">
        <x:v>Reported separately; not part of ADMET conclusion</x:v>
      </x:c>
      <x:c r="M17" s="14" t="str">
        <x:v>Mixed/higher modeled safety concern; experimental confirmation 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6b04c505fadf4bf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1" hidden="0" customWidth="1"/>
    <x:col min="3" max="3" width="18" hidden="0" customWidth="1"/>
    <x:col min="4" max="4" width="24" hidden="0" customWidth="1"/>
    <x:col min="5" max="5" width="42" hidden="0" customWidth="1"/>
    <x:col min="6" max="6" width="29" hidden="0" customWidth="1"/>
    <x:col min="7" max="7" width="21" hidden="0" customWidth="1"/>
    <x:col min="8" max="8" width="17" hidden="0" customWidth="1"/>
    <x:col min="9" max="9" width="17" hidden="0" customWidth="1"/>
    <x:col min="10" max="10" width="15" hidden="0" customWidth="1"/>
    <x:col min="11" max="11" width="21" hidden="0" customWidth="1"/>
    <x:col min="12" max="12" width="12" hidden="0" customWidth="1"/>
    <x:col min="13" max="13" width="15" hidden="0" customWidth="1"/>
    <x:col min="14" max="14" width="21" hidden="0" customWidth="1"/>
    <x:col min="15" max="15" width="16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6" hidden="0" customWidth="1"/>
    <x:col min="22" max="22" width="22" hidden="0" customWidth="1"/>
    <x:col min="23" max="23" width="16" hidden="0" customWidth="1"/>
    <x:col min="24" max="24" width="14" hidden="0" customWidth="1"/>
    <x:col min="25" max="25" width="14" hidden="0" customWidth="1"/>
    <x:col min="26" max="26" width="24" hidden="0" customWidth="1"/>
    <x:col min="27" max="27" width="24" hidden="0" customWidth="1"/>
    <x:col min="28" max="28" width="34" hidden="0" customWidth="1"/>
  </x:cols>
  <x:sheetData>
    <x:row r="1" ht="38" customHeight="1">
      <x:c r="A1" s="6" t="str">
        <x:v>Final_Canonical_ID</x:v>
      </x:c>
      <x:c r="B1" s="6" t="str">
        <x:v>Canonical_Legacy_ID</x:v>
      </x:c>
      <x:c r="C1" s="6" t="str">
        <x:v>Legacy_ADMET_Row</x:v>
      </x:c>
      <x:c r="D1" s="6" t="str">
        <x:v>Original_Enumeration_Label</x:v>
      </x:c>
      <x:c r="E1" s="6" t="str">
        <x:v>Canonical_SMILES</x:v>
      </x:c>
      <x:c r="F1" s="6" t="str">
        <x:v>InChIKey</x:v>
      </x:c>
      <x:c r="G1" s="6" t="str">
        <x:v>Duplicate_Structure</x:v>
      </x:c>
      <x:c r="H1" s="6" t="str">
        <x:v>BBB_logBB_pkCSM</x:v>
      </x:c>
      <x:c r="I1" s="6" t="str">
        <x:v>CNS_logPS_pkCSM</x:v>
      </x:c>
      <x:c r="J1" s="6" t="str">
        <x:v>BBB_SwissADME</x:v>
      </x:c>
      <x:c r="K1" s="6" t="str">
        <x:v>BBB_Model_Consensus</x:v>
      </x:c>
      <x:c r="L1" s="6" t="str">
        <x:v>Pgp_pkCSM</x:v>
      </x:c>
      <x:c r="M1" s="6" t="str">
        <x:v>Pgp_SwissADME</x:v>
      </x:c>
      <x:c r="N1" s="6" t="str">
        <x:v>Pgp_Model_Consensus</x:v>
      </x:c>
      <x:c r="O1" s="6" t="str">
        <x:v>Consensus_LogP</x:v>
      </x:c>
      <x:c r="P1" s="6" t="str">
        <x:v>TPSA</x:v>
      </x:c>
      <x:c r="Q1" s="6" t="str">
        <x:v>ESOL_LogS</x:v>
      </x:c>
      <x:c r="R1" s="6" t="str">
        <x:v>Ames</x:v>
      </x:c>
      <x:c r="S1" s="6" t="str">
        <x:v>hERG_I</x:v>
      </x:c>
      <x:c r="T1" s="6" t="str">
        <x:v>hERG_II</x:v>
      </x:c>
      <x:c r="U1" s="6" t="str">
        <x:v>Hepatotoxicity</x:v>
      </x:c>
      <x:c r="V1" s="6" t="str">
        <x:v>Safety_Alert_Summary</x:v>
      </x:c>
      <x:c r="W1" s="6" t="str">
        <x:v>Safety_Profile</x:v>
      </x:c>
      <x:c r="X1" s="6" t="str">
        <x:v>PAINS_Alerts</x:v>
      </x:c>
      <x:c r="Y1" s="6" t="str">
        <x:v>Brenk_Alerts</x:v>
      </x:c>
      <x:c r="Z1" s="6" t="str">
        <x:v>Synthetic_Accessibility_Separate</x:v>
      </x:c>
      <x:c r="AA1" s="6" t="str">
        <x:v>Old_Decision_Score_Retired</x:v>
      </x:c>
      <x:c r="AB1" s="6" t="str">
        <x:v>Audit_Interpretation</x:v>
      </x:c>
    </x:row>
    <x:row r="2">
      <x:c r="A2" s="14" t="str">
        <x:v>TSPO-C01</x:v>
      </x:c>
      <x:c r="B2" s="14" t="str">
        <x:v>A1</x:v>
      </x:c>
      <x:c r="C2" s="14" t="str">
        <x:v>A1</x:v>
      </x:c>
      <x:c r="D2" s="14" t="str">
        <x:v>emap_Bn-4OCF3_Me</x:v>
      </x:c>
      <x:c r="E2" s="14" t="str">
        <x:v>CCN(Cc1ccc(OC(F)(F)F)cc1)C(=O)Cn1c(=O)n(C)c2cnc(-c3ccccc3)nc21</x:v>
      </x:c>
      <x:c r="F2" s="14" t="str">
        <x:v>RYAVPURPEWUCGR-UHFFFAOYSA-N</x:v>
      </x:c>
      <x:c r="G2" s="14" t="str">
        <x:v>Yes</x:v>
      </x:c>
      <x:c r="H2" s="14" t="n">
        <x:v>-1.553</x:v>
      </x:c>
      <x:c r="I2" s="14" t="n">
        <x:v>-2.647</x:v>
      </x:c>
      <x:c r="J2" s="14" t="str">
        <x:v>No</x:v>
      </x:c>
      <x:c r="K2" s="14" t="str">
        <x:v>Concordant nonsupportive</x:v>
      </x:c>
      <x:c r="L2" s="14" t="str">
        <x:v>Yes</x:v>
      </x:c>
      <x:c r="M2" s="14" t="str">
        <x:v>No</x:v>
      </x:c>
      <x:c r="N2" s="14" t="str">
        <x:v>Discordant</x:v>
      </x:c>
      <x:c r="O2" s="14" t="n">
        <x:v>2.48</x:v>
      </x:c>
      <x:c r="P2" s="14" t="n">
        <x:v>82.25</x:v>
      </x:c>
      <x:c r="Q2" s="14" t="n">
        <x:v>-5.88</x:v>
      </x:c>
      <x:c r="R2" s="14" t="str">
        <x:v>Yes</x:v>
      </x:c>
      <x:c r="S2" s="14" t="str">
        <x:v>No</x:v>
      </x:c>
      <x:c r="T2" s="14" t="str">
        <x:v>Yes</x:v>
      </x:c>
      <x:c r="U2" s="14" t="str">
        <x:v>No</x:v>
      </x:c>
      <x:c r="V2" s="14" t="str">
        <x:v>Ames; hERG II</x:v>
      </x:c>
      <x:c r="W2" s="14" t="str">
        <x:v>One major modeled alert + hERG II</x:v>
      </x:c>
      <x:c r="X2" s="14" t="n">
        <x:v>0</x:v>
      </x:c>
      <x:c r="Y2" s="14" t="n">
        <x:v>0</x:v>
      </x:c>
      <x:c r="Z2" s="14" t="n">
        <x:v>3.31</x:v>
      </x:c>
      <x:c r="AA2" s="28" t="n">
        <x:v>-1.8835732938273695</x:v>
      </x:c>
      <x:c r="AB2" s="14" t="str">
        <x:v>Duplicate structure; retain both prediction records for reproducibility audit; P-gp models disagree; Synthetic accessibility excluded from ADMET interpretation</x:v>
      </x:c>
    </x:row>
    <x:row r="3">
      <x:c r="A3" s="14" t="str">
        <x:v>TSPO-C02</x:v>
      </x:c>
      <x:c r="B3" s="14" t="str">
        <x:v>A2</x:v>
      </x:c>
      <x:c r="C3" s="14" t="str">
        <x:v>A2</x:v>
      </x:c>
      <x:c r="D3" s="14" t="str">
        <x:v>emap_Bn-4OCHF2_Me</x:v>
      </x:c>
      <x:c r="E3" s="14" t="str">
        <x:v>CCN(Cc1ccc(OC(F)F)cc1)C(=O)Cn1c(=O)n(C)c2cnc(-c3ccccc3)nc21</x:v>
      </x:c>
      <x:c r="F3" s="14" t="str">
        <x:v>JYGZVVWKPOSECN-UHFFFAOYSA-N</x:v>
      </x:c>
      <x:c r="G3" s="14" t="str">
        <x:v>No</x:v>
      </x:c>
      <x:c r="H3" s="14" t="n">
        <x:v>-1.432</x:v>
      </x:c>
      <x:c r="I3" s="14" t="n">
        <x:v>-2.787</x:v>
      </x:c>
      <x:c r="J3" s="14" t="str">
        <x:v>No</x:v>
      </x:c>
      <x:c r="K3" s="14" t="str">
        <x:v>Concordant nonsupportive</x:v>
      </x:c>
      <x:c r="L3" s="14" t="str">
        <x:v>Yes</x:v>
      </x:c>
      <x:c r="M3" s="14" t="str">
        <x:v>No</x:v>
      </x:c>
      <x:c r="N3" s="14" t="str">
        <x:v>Discordant</x:v>
      </x:c>
      <x:c r="O3" s="14" t="n">
        <x:v>2.17</x:v>
      </x:c>
      <x:c r="P3" s="14" t="n">
        <x:v>82.25</x:v>
      </x:c>
      <x:c r="Q3" s="14" t="n">
        <x:v>-5.62</x:v>
      </x:c>
      <x:c r="R3" s="14" t="str">
        <x:v>Yes</x:v>
      </x:c>
      <x:c r="S3" s="14" t="str">
        <x:v>No</x:v>
      </x:c>
      <x:c r="T3" s="14" t="str">
        <x:v>Yes</x:v>
      </x:c>
      <x:c r="U3" s="14" t="str">
        <x:v>No</x:v>
      </x:c>
      <x:c r="V3" s="14" t="str">
        <x:v>Ames; hERG II</x:v>
      </x:c>
      <x:c r="W3" s="14" t="str">
        <x:v>One major modeled alert + hERG II</x:v>
      </x:c>
      <x:c r="X3" s="14" t="n">
        <x:v>0</x:v>
      </x:c>
      <x:c r="Y3" s="14" t="n">
        <x:v>0</x:v>
      </x:c>
      <x:c r="Z3" s="14" t="n">
        <x:v>3.31</x:v>
      </x:c>
      <x:c r="AA3" s="28" t="n">
        <x:v>-1.8973635370335686</x:v>
      </x:c>
      <x:c r="AB3" s="14" t="str">
        <x:v>P-gp models disagree; Synthetic accessibility excluded from ADMET interpretation</x:v>
      </x:c>
    </x:row>
    <x:row r="4">
      <x:c r="A4" s="14" t="str">
        <x:v>TSPO-C03</x:v>
      </x:c>
      <x:c r="B4" s="14" t="str">
        <x:v>A3</x:v>
      </x:c>
      <x:c r="C4" s="14" t="str">
        <x:v>A3</x:v>
      </x:c>
      <x:c r="D4" s="14" t="str">
        <x:v>emap2_Bn_CH2CF3</x:v>
      </x:c>
      <x:c r="E4" s="14" t="str">
        <x:v>CCN(Cc1ccccc1)C(=O)Cn1c(=O)n(CC(F)(F)F)c2cnc(-c3ccccc3)nc21</x:v>
      </x:c>
      <x:c r="F4" s="14" t="str">
        <x:v>IVVCXQQZEMWNOK-UHFFFAOYSA-N</x:v>
      </x:c>
      <x:c r="G4" s="14" t="str">
        <x:v>No</x:v>
      </x:c>
      <x:c r="H4" s="14" t="n">
        <x:v>-0.984</x:v>
      </x:c>
      <x:c r="I4" s="14" t="n">
        <x:v>-2.507</x:v>
      </x:c>
      <x:c r="J4" s="14" t="str">
        <x:v>No</x:v>
      </x:c>
      <x:c r="K4" s="14" t="str">
        <x:v>Discordant</x:v>
      </x:c>
      <x:c r="L4" s="14" t="str">
        <x:v>Yes</x:v>
      </x:c>
      <x:c r="M4" s="14" t="str">
        <x:v>No</x:v>
      </x:c>
      <x:c r="N4" s="14" t="str">
        <x:v>Discordant</x:v>
      </x:c>
      <x:c r="O4" s="14" t="n">
        <x:v>2.68</x:v>
      </x:c>
      <x:c r="P4" s="14" t="n">
        <x:v>73.02</x:v>
      </x:c>
      <x:c r="Q4" s="14" t="n">
        <x:v>-5.71</x:v>
      </x:c>
      <x:c r="R4" s="14" t="str">
        <x:v>No</x:v>
      </x:c>
      <x:c r="S4" s="14" t="str">
        <x:v>No</x:v>
      </x:c>
      <x:c r="T4" s="14" t="str">
        <x:v>Yes</x:v>
      </x:c>
      <x:c r="U4" s="14" t="str">
        <x:v>No</x:v>
      </x:c>
      <x:c r="V4" s="14" t="str">
        <x:v>hERG II</x:v>
      </x:c>
      <x:c r="W4" s="14" t="str">
        <x:v>Single hERG II alert</x:v>
      </x:c>
      <x:c r="X4" s="14" t="n">
        <x:v>0</x:v>
      </x:c>
      <x:c r="Y4" s="14" t="n">
        <x:v>0</x:v>
      </x:c>
      <x:c r="Z4" s="14" t="n">
        <x:v>3.32</x:v>
      </x:c>
      <x:c r="AA4" s="28" t="n">
        <x:v>-0.23628094456605292</x:v>
      </x:c>
      <x:c r="AB4" s="14" t="str">
        <x:v>BBB models disagree; P-gp models disagree; Synthetic accessibility excluded from ADMET interpretation</x:v>
      </x:c>
    </x:row>
    <x:row r="5">
      <x:c r="A5" s="14" t="str">
        <x:v>TSPO-C04</x:v>
      </x:c>
      <x:c r="B5" s="14" t="str">
        <x:v>A4</x:v>
      </x:c>
      <x:c r="C5" s="14" t="str">
        <x:v>A4</x:v>
      </x:c>
      <x:c r="D5" s="14" t="str">
        <x:v>emap2_Bn-4F_Me</x:v>
      </x:c>
      <x:c r="E5" s="14" t="str">
        <x:v>CCN(Cc1ccc(F)cc1)C(=O)Cn1c(=O)n(C)c2cnc(-c3ccccc3)nc21</x:v>
      </x:c>
      <x:c r="F5" s="14" t="str">
        <x:v>FBNPWDKOHCTAFT-UHFFFAOYSA-N</x:v>
      </x:c>
      <x:c r="G5" s="14" t="str">
        <x:v>No</x:v>
      </x:c>
      <x:c r="H5" s="14" t="n">
        <x:v>-0.819</x:v>
      </x:c>
      <x:c r="I5" s="14" t="n">
        <x:v>-2.64</x:v>
      </x:c>
      <x:c r="J5" s="14" t="str">
        <x:v>Yes</x:v>
      </x:c>
      <x:c r="K5" s="14" t="str">
        <x:v>Concordant supportive</x:v>
      </x:c>
      <x:c r="L5" s="14" t="str">
        <x:v>Yes</x:v>
      </x:c>
      <x:c r="M5" s="14" t="str">
        <x:v>No</x:v>
      </x:c>
      <x:c r="N5" s="14" t="str">
        <x:v>Discordant</x:v>
      </x:c>
      <x:c r="O5" s="14" t="n">
        <x:v>1.84</x:v>
      </x:c>
      <x:c r="P5" s="14" t="n">
        <x:v>73.02</x:v>
      </x:c>
      <x:c r="Q5" s="14" t="n">
        <x:v>-4.97</x:v>
      </x:c>
      <x:c r="R5" s="14" t="str">
        <x:v>Yes</x:v>
      </x:c>
      <x:c r="S5" s="14" t="str">
        <x:v>No</x:v>
      </x:c>
      <x:c r="T5" s="14" t="str">
        <x:v>Yes</x:v>
      </x:c>
      <x:c r="U5" s="14" t="str">
        <x:v>No</x:v>
      </x:c>
      <x:c r="V5" s="14" t="str">
        <x:v>Ames; hERG II</x:v>
      </x:c>
      <x:c r="W5" s="14" t="str">
        <x:v>One major modeled alert + hERG II</x:v>
      </x:c>
      <x:c r="X5" s="14" t="n">
        <x:v>0</x:v>
      </x:c>
      <x:c r="Y5" s="14" t="n">
        <x:v>0</x:v>
      </x:c>
      <x:c r="Z5" s="14" t="n">
        <x:v>3.16</x:v>
      </x:c>
      <x:c r="AA5" s="28" t="n">
        <x:v>-0.3393298876951777</x:v>
      </x:c>
      <x:c r="AB5" s="14" t="str">
        <x:v>P-gp models disagree; Synthetic accessibility excluded from ADMET interpretation</x:v>
      </x:c>
    </x:row>
    <x:row r="6">
      <x:c r="A6" s="14" t="str">
        <x:v>TSPO-C05</x:v>
      </x:c>
      <x:c r="B6" s="14" t="str">
        <x:v>A5</x:v>
      </x:c>
      <x:c r="C6" s="14" t="str">
        <x:v>A5</x:v>
      </x:c>
      <x:c r="D6" s="14" t="str">
        <x:v>emap2_Bn-3,5diF_CH2CH2F</x:v>
      </x:c>
      <x:c r="E6" s="14" t="str">
        <x:v>CCN(Cc1ccc(F)cc1F)C(=O)Cn1c(=O)n(CCF)c2cnc(-c3ccccc3)nc21</x:v>
      </x:c>
      <x:c r="F6" s="14" t="str">
        <x:v>JZWMBORVCJYGRM-UHFFFAOYSA-N</x:v>
      </x:c>
      <x:c r="G6" s="14" t="str">
        <x:v>No</x:v>
      </x:c>
      <x:c r="H6" s="14" t="n">
        <x:v>-1.192</x:v>
      </x:c>
      <x:c r="I6" s="14" t="n">
        <x:v>-3.802</x:v>
      </x:c>
      <x:c r="J6" s="14" t="str">
        <x:v>No</x:v>
      </x:c>
      <x:c r="K6" s="14" t="str">
        <x:v>Concordant nonsupportive</x:v>
      </x:c>
      <x:c r="L6" s="14" t="str">
        <x:v>Yes</x:v>
      </x:c>
      <x:c r="M6" s="14" t="str">
        <x:v>No</x:v>
      </x:c>
      <x:c r="N6" s="14" t="str">
        <x:v>Discordant</x:v>
      </x:c>
      <x:c r="O6" s="14" t="n">
        <x:v>2.74</x:v>
      </x:c>
      <x:c r="P6" s="14" t="n">
        <x:v>73.02</x:v>
      </x:c>
      <x:c r="Q6" s="14" t="n">
        <x:v>-5.35</x:v>
      </x:c>
      <x:c r="R6" s="14" t="str">
        <x:v>No</x:v>
      </x:c>
      <x:c r="S6" s="14" t="str">
        <x:v>No</x:v>
      </x:c>
      <x:c r="T6" s="14" t="str">
        <x:v>Yes</x:v>
      </x:c>
      <x:c r="U6" s="14" t="str">
        <x:v>No</x:v>
      </x:c>
      <x:c r="V6" s="14" t="str">
        <x:v>hERG II</x:v>
      </x:c>
      <x:c r="W6" s="14" t="str">
        <x:v>Single hERG II alert</x:v>
      </x:c>
      <x:c r="X6" s="14" t="n">
        <x:v>0</x:v>
      </x:c>
      <x:c r="Y6" s="14" t="n">
        <x:v>0</x:v>
      </x:c>
      <x:c r="Z6" s="14" t="n">
        <x:v>3.42</x:v>
      </x:c>
      <x:c r="AA6" s="28" t="n">
        <x:v>-0.8306292666233371</x:v>
      </x:c>
      <x:c r="AB6" s="14" t="str">
        <x:v>P-gp models disagree; Synthetic accessibility excluded from ADMET interpretation</x:v>
      </x:c>
    </x:row>
    <x:row r="7">
      <x:c r="A7" s="14" t="str">
        <x:v>TSPO-C06</x:v>
      </x:c>
      <x:c r="B7" s="14" t="str">
        <x:v>A6</x:v>
      </x:c>
      <x:c r="C7" s="14" t="str">
        <x:v>A6</x:v>
      </x:c>
      <x:c r="D7" s="14" t="str">
        <x:v>emap2_Bn-3,4diF_Me</x:v>
      </x:c>
      <x:c r="E7" s="14" t="str">
        <x:v>CCN(Cc1cc(F)ccc1F)C(=O)Cn1c(=O)n(C)c2cnc(-c3ccccc3)nc21</x:v>
      </x:c>
      <x:c r="F7" s="14" t="str">
        <x:v>ROISXNCPSSLCOO-UHFFFAOYSA-N</x:v>
      </x:c>
      <x:c r="G7" s="14" t="str">
        <x:v>No</x:v>
      </x:c>
      <x:c r="H7" s="14" t="n">
        <x:v>-0.996</x:v>
      </x:c>
      <x:c r="I7" s="14" t="n">
        <x:v>-3.55</x:v>
      </x:c>
      <x:c r="J7" s="14" t="str">
        <x:v>Yes</x:v>
      </x:c>
      <x:c r="K7" s="14" t="str">
        <x:v>Discordant</x:v>
      </x:c>
      <x:c r="L7" s="14" t="str">
        <x:v>Yes</x:v>
      </x:c>
      <x:c r="M7" s="14" t="str">
        <x:v>No</x:v>
      </x:c>
      <x:c r="N7" s="14" t="str">
        <x:v>Discordant</x:v>
      </x:c>
      <x:c r="O7" s="14" t="n">
        <x:v>2.21</x:v>
      </x:c>
      <x:c r="P7" s="14" t="n">
        <x:v>73.02</x:v>
      </x:c>
      <x:c r="Q7" s="14" t="n">
        <x:v>-5.14</x:v>
      </x:c>
      <x:c r="R7" s="14" t="str">
        <x:v>Yes</x:v>
      </x:c>
      <x:c r="S7" s="14" t="str">
        <x:v>No</x:v>
      </x:c>
      <x:c r="T7" s="14" t="str">
        <x:v>Yes</x:v>
      </x:c>
      <x:c r="U7" s="14" t="str">
        <x:v>No</x:v>
      </x:c>
      <x:c r="V7" s="14" t="str">
        <x:v>Ames; hERG II</x:v>
      </x:c>
      <x:c r="W7" s="14" t="str">
        <x:v>One major modeled alert + hERG II</x:v>
      </x:c>
      <x:c r="X7" s="14" t="n">
        <x:v>0</x:v>
      </x:c>
      <x:c r="Y7" s="14" t="n">
        <x:v>0</x:v>
      </x:c>
      <x:c r="Z7" s="14" t="n">
        <x:v>3.24</x:v>
      </x:c>
      <x:c r="AA7" s="28" t="n">
        <x:v>-0.7912081330214917</x:v>
      </x:c>
      <x:c r="AB7" s="14" t="str">
        <x:v>BBB models disagree; P-gp models disagree; Synthetic accessibility excluded from ADMET interpretation</x:v>
      </x:c>
    </x:row>
    <x:row r="8">
      <x:c r="A8" s="14" t="str">
        <x:v>TSPO-C07</x:v>
      </x:c>
      <x:c r="B8" s="14" t="str">
        <x:v>A7</x:v>
      </x:c>
      <x:c r="C8" s="14" t="str">
        <x:v>A7</x:v>
      </x:c>
      <x:c r="D8" s="14" t="str">
        <x:v>emap2_Bn-3,4diF_CHF2</x:v>
      </x:c>
      <x:c r="E8" s="14" t="str">
        <x:v>CCN(Cc1cc(F)ccc1F)C(=O)Cn1c(=O)n(C(F)F)c2cnc(-c3ccccc3)nc21</x:v>
      </x:c>
      <x:c r="F8" s="14" t="str">
        <x:v>WGQOACSSQOYZLN-UHFFFAOYSA-N</x:v>
      </x:c>
      <x:c r="G8" s="14" t="str">
        <x:v>No</x:v>
      </x:c>
      <x:c r="H8" s="14" t="n">
        <x:v>-1.274</x:v>
      </x:c>
      <x:c r="I8" s="14" t="n">
        <x:v>-3.534</x:v>
      </x:c>
      <x:c r="J8" s="14" t="str">
        <x:v>No</x:v>
      </x:c>
      <x:c r="K8" s="14" t="str">
        <x:v>Concordant nonsupportive</x:v>
      </x:c>
      <x:c r="L8" s="14" t="str">
        <x:v>Yes</x:v>
      </x:c>
      <x:c r="M8" s="14" t="str">
        <x:v>No</x:v>
      </x:c>
      <x:c r="N8" s="14" t="str">
        <x:v>Discordant</x:v>
      </x:c>
      <x:c r="O8" s="14" t="n">
        <x:v>2.93</x:v>
      </x:c>
      <x:c r="P8" s="14" t="n">
        <x:v>73.02</x:v>
      </x:c>
      <x:c r="Q8" s="14" t="n">
        <x:v>-5.8</x:v>
      </x:c>
      <x:c r="R8" s="14" t="str">
        <x:v>No</x:v>
      </x:c>
      <x:c r="S8" s="14" t="str">
        <x:v>No</x:v>
      </x:c>
      <x:c r="T8" s="14" t="str">
        <x:v>Yes</x:v>
      </x:c>
      <x:c r="U8" s="14" t="str">
        <x:v>No</x:v>
      </x:c>
      <x:c r="V8" s="14" t="str">
        <x:v>hERG II</x:v>
      </x:c>
      <x:c r="W8" s="14" t="str">
        <x:v>Single hERG II alert</x:v>
      </x:c>
      <x:c r="X8" s="14" t="n">
        <x:v>0</x:v>
      </x:c>
      <x:c r="Y8" s="14" t="n">
        <x:v>0</x:v>
      </x:c>
      <x:c r="Z8" s="14" t="n">
        <x:v>3.34</x:v>
      </x:c>
      <x:c r="AA8" s="28" t="n">
        <x:v>-0.9778773748204472</x:v>
      </x:c>
      <x:c r="AB8" s="14" t="str">
        <x:v>P-gp models disagree; Synthetic accessibility excluded from ADMET interpretation</x:v>
      </x:c>
    </x:row>
    <x:row r="9">
      <x:c r="A9" s="14" t="str">
        <x:v>TSPO-C08</x:v>
      </x:c>
      <x:c r="B9" s="14" t="str">
        <x:v>A8</x:v>
      </x:c>
      <x:c r="C9" s="14" t="str">
        <x:v>A8</x:v>
      </x:c>
      <x:c r="D9" s="14" t="str">
        <x:v>emap2_Bn-3,4diCl_Me</x:v>
      </x:c>
      <x:c r="E9" s="14" t="str">
        <x:v>CCN(Cc1cc(Cl)ccc1Cl)C(=O)Cn1c(=O)n(C)c2cnc(-c3ccccc3)nc21</x:v>
      </x:c>
      <x:c r="F9" s="14" t="str">
        <x:v>SKIRNMQWXSZAMC-UHFFFAOYSA-N</x:v>
      </x:c>
      <x:c r="G9" s="14" t="str">
        <x:v>Yes</x:v>
      </x:c>
      <x:c r="H9" s="14" t="n">
        <x:v>-0.931</x:v>
      </x:c>
      <x:c r="I9" s="14" t="n">
        <x:v>-2.339</x:v>
      </x:c>
      <x:c r="J9" s="14" t="str">
        <x:v>Yes</x:v>
      </x:c>
      <x:c r="K9" s="14" t="str">
        <x:v>Concordant supportive</x:v>
      </x:c>
      <x:c r="L9" s="14" t="str">
        <x:v>Yes</x:v>
      </x:c>
      <x:c r="M9" s="14" t="str">
        <x:v>No</x:v>
      </x:c>
      <x:c r="N9" s="14" t="str">
        <x:v>Discordant</x:v>
      </x:c>
      <x:c r="O9" s="14" t="n">
        <x:v>2.68</x:v>
      </x:c>
      <x:c r="P9" s="14" t="n">
        <x:v>73.02</x:v>
      </x:c>
      <x:c r="Q9" s="14" t="n">
        <x:v>-6.01</x:v>
      </x:c>
      <x:c r="R9" s="14" t="str">
        <x:v>Yes</x:v>
      </x:c>
      <x:c r="S9" s="14" t="str">
        <x:v>No</x:v>
      </x:c>
      <x:c r="T9" s="14" t="str">
        <x:v>Yes</x:v>
      </x:c>
      <x:c r="U9" s="14" t="str">
        <x:v>No</x:v>
      </x:c>
      <x:c r="V9" s="14" t="str">
        <x:v>Ames; hERG II</x:v>
      </x:c>
      <x:c r="W9" s="14" t="str">
        <x:v>One major modeled alert + hERG II</x:v>
      </x:c>
      <x:c r="X9" s="14" t="n">
        <x:v>0</x:v>
      </x:c>
      <x:c r="Y9" s="14" t="n">
        <x:v>0</x:v>
      </x:c>
      <x:c r="Z9" s="14" t="n">
        <x:v>3.26</x:v>
      </x:c>
      <x:c r="AA9" s="28" t="n">
        <x:v>-0.5362535036525115</x:v>
      </x:c>
      <x:c r="AB9" s="14" t="str">
        <x:v>Duplicate structure; retain both prediction records for reproducibility audit; P-gp models disagree; Synthetic accessibility excluded from ADMET interpretation</x:v>
      </x:c>
    </x:row>
    <x:row r="10">
      <x:c r="A10" s="14" t="str">
        <x:v>TSPO-C01</x:v>
      </x:c>
      <x:c r="B10" s="14" t="str">
        <x:v>A1</x:v>
      </x:c>
      <x:c r="C10" s="14" t="str">
        <x:v>A9</x:v>
      </x:c>
      <x:c r="D10" s="14" t="str">
        <x:v>emap2_Bn-4OCF3_Me</x:v>
      </x:c>
      <x:c r="E10" s="14" t="str">
        <x:v>CCN(Cc1ccc(OC(F)(F)F)cc1)C(=O)Cn1c(=O)n(C)c2cnc(-c3ccccc3)nc21</x:v>
      </x:c>
      <x:c r="F10" s="14" t="str">
        <x:v>RYAVPURPEWUCGR-UHFFFAOYSA-N</x:v>
      </x:c>
      <x:c r="G10" s="14" t="str">
        <x:v>Yes</x:v>
      </x:c>
      <x:c r="H10" s="14" t="n">
        <x:v>-1.553</x:v>
      </x:c>
      <x:c r="I10" s="14" t="n">
        <x:v>-2.647</x:v>
      </x:c>
      <x:c r="J10" s="14" t="str">
        <x:v>No</x:v>
      </x:c>
      <x:c r="K10" s="14" t="str">
        <x:v>Concordant nonsupportive</x:v>
      </x:c>
      <x:c r="L10" s="14" t="str">
        <x:v>Yes</x:v>
      </x:c>
      <x:c r="M10" s="14" t="str">
        <x:v>No</x:v>
      </x:c>
      <x:c r="N10" s="14" t="str">
        <x:v>Discordant</x:v>
      </x:c>
      <x:c r="O10" s="14" t="n">
        <x:v>2.48</x:v>
      </x:c>
      <x:c r="P10" s="14" t="n">
        <x:v>82.25</x:v>
      </x:c>
      <x:c r="Q10" s="14" t="n">
        <x:v>-5.88</x:v>
      </x:c>
      <x:c r="R10" s="14" t="str">
        <x:v>Yes</x:v>
      </x:c>
      <x:c r="S10" s="14" t="str">
        <x:v>No</x:v>
      </x:c>
      <x:c r="T10" s="14" t="str">
        <x:v>Yes</x:v>
      </x:c>
      <x:c r="U10" s="14" t="str">
        <x:v>No</x:v>
      </x:c>
      <x:c r="V10" s="14" t="str">
        <x:v>Ames; hERG II</x:v>
      </x:c>
      <x:c r="W10" s="14" t="str">
        <x:v>One major modeled alert + hERG II</x:v>
      </x:c>
      <x:c r="X10" s="14" t="n">
        <x:v>0</x:v>
      </x:c>
      <x:c r="Y10" s="14" t="n">
        <x:v>0</x:v>
      </x:c>
      <x:c r="Z10" s="14" t="n">
        <x:v>3.31</x:v>
      </x:c>
      <x:c r="AA10" s="28" t="n">
        <x:v>-1.8835732938273695</x:v>
      </x:c>
      <x:c r="AB10" s="14" t="str">
        <x:v>Duplicate structure; retain both prediction records for reproducibility audit; P-gp models disagree; Synthetic accessibility excluded from ADMET interpretation</x:v>
      </x:c>
    </x:row>
    <x:row r="11">
      <x:c r="A11" s="14" t="str">
        <x:v>TSPO-C09</x:v>
      </x:c>
      <x:c r="B11" s="14" t="str">
        <x:v>A10</x:v>
      </x:c>
      <x:c r="C11" s="14" t="str">
        <x:v>A10</x:v>
      </x:c>
      <x:c r="D11" s="14" t="str">
        <x:v>emap2_Bn-4OMe_CH2CF3</x:v>
      </x:c>
      <x:c r="E11" s="14" t="str">
        <x:v>CCN(Cc1ccc(OC)cc1)C(=O)Cn1c(=O)n(CC(F)(F)F)c2cnc(-c3ccccc3)nc21</x:v>
      </x:c>
      <x:c r="F11" s="14" t="str">
        <x:v>CRJOUMHDHKDKMB-UHFFFAOYSA-N</x:v>
      </x:c>
      <x:c r="G11" s="14" t="str">
        <x:v>No</x:v>
      </x:c>
      <x:c r="H11" s="14" t="n">
        <x:v>-1.553</x:v>
      </x:c>
      <x:c r="I11" s="14" t="n">
        <x:v>-2.71</x:v>
      </x:c>
      <x:c r="J11" s="14" t="str">
        <x:v>No</x:v>
      </x:c>
      <x:c r="K11" s="14" t="str">
        <x:v>Concordant nonsupportive</x:v>
      </x:c>
      <x:c r="L11" s="14" t="str">
        <x:v>Yes</x:v>
      </x:c>
      <x:c r="M11" s="14" t="str">
        <x:v>No</x:v>
      </x:c>
      <x:c r="N11" s="14" t="str">
        <x:v>Discordant</x:v>
      </x:c>
      <x:c r="O11" s="14" t="n">
        <x:v>2.62</x:v>
      </x:c>
      <x:c r="P11" s="14" t="n">
        <x:v>82.25</x:v>
      </x:c>
      <x:c r="Q11" s="14" t="n">
        <x:v>-5.78</x:v>
      </x:c>
      <x:c r="R11" s="14" t="str">
        <x:v>No</x:v>
      </x:c>
      <x:c r="S11" s="14" t="str">
        <x:v>No</x:v>
      </x:c>
      <x:c r="T11" s="14" t="str">
        <x:v>Yes</x:v>
      </x:c>
      <x:c r="U11" s="14" t="str">
        <x:v>Yes</x:v>
      </x:c>
      <x:c r="V11" s="14" t="str">
        <x:v>hERG II; Hepatotoxicity</x:v>
      </x:c>
      <x:c r="W11" s="14" t="str">
        <x:v>One major modeled alert + hERG II</x:v>
      </x:c>
      <x:c r="X11" s="14" t="n">
        <x:v>0</x:v>
      </x:c>
      <x:c r="Y11" s="14" t="n">
        <x:v>0</x:v>
      </x:c>
      <x:c r="Z11" s="14" t="n">
        <x:v>3.43</x:v>
      </x:c>
      <x:c r="AA11" s="28" t="n">
        <x:v>-1.9919279021614607</x:v>
      </x:c>
      <x:c r="AB11" s="14" t="str">
        <x:v>P-gp models disagree; Synthetic accessibility excluded from ADMET interpretation</x:v>
      </x:c>
    </x:row>
    <x:row r="12">
      <x:c r="A12" s="14" t="str">
        <x:v>TSPO-C10</x:v>
      </x:c>
      <x:c r="B12" s="14" t="str">
        <x:v>A11</x:v>
      </x:c>
      <x:c r="C12" s="14" t="str">
        <x:v>A11</x:v>
      </x:c>
      <x:c r="D12" s="14" t="str">
        <x:v>emap3_Bn_OCH2CF3</x:v>
      </x:c>
      <x:c r="E12" s="14" t="str">
        <x:v>CCN(Cc1ccccc1)C(=O)Cn1c(=O)n(COC(F)(F)F)c2cnc(-c3ccccc3)nc21</x:v>
      </x:c>
      <x:c r="F12" s="14" t="str">
        <x:v>QJCBKXCGKKCQEH-UHFFFAOYSA-N</x:v>
      </x:c>
      <x:c r="G12" s="14" t="str">
        <x:v>No</x:v>
      </x:c>
      <x:c r="H12" s="14" t="n">
        <x:v>-1.084</x:v>
      </x:c>
      <x:c r="I12" s="14" t="n">
        <x:v>-2.624</x:v>
      </x:c>
      <x:c r="J12" s="14" t="str">
        <x:v>No</x:v>
      </x:c>
      <x:c r="K12" s="14" t="str">
        <x:v>Concordant nonsupportive</x:v>
      </x:c>
      <x:c r="L12" s="14" t="str">
        <x:v>Yes</x:v>
      </x:c>
      <x:c r="M12" s="14" t="str">
        <x:v>No</x:v>
      </x:c>
      <x:c r="N12" s="14" t="str">
        <x:v>Discordant</x:v>
      </x:c>
      <x:c r="O12" s="14" t="n">
        <x:v>2.33</x:v>
      </x:c>
      <x:c r="P12" s="14" t="n">
        <x:v>82.25</x:v>
      </x:c>
      <x:c r="Q12" s="14" t="n">
        <x:v>-5.76</x:v>
      </x:c>
      <x:c r="R12" s="14" t="str">
        <x:v>No</x:v>
      </x:c>
      <x:c r="S12" s="14" t="str">
        <x:v>No</x:v>
      </x:c>
      <x:c r="T12" s="14" t="str">
        <x:v>Yes</x:v>
      </x:c>
      <x:c r="U12" s="14" t="str">
        <x:v>No</x:v>
      </x:c>
      <x:c r="V12" s="14" t="str">
        <x:v>hERG II</x:v>
      </x:c>
      <x:c r="W12" s="14" t="str">
        <x:v>Single hERG II alert</x:v>
      </x:c>
      <x:c r="X12" s="14" t="n">
        <x:v>0</x:v>
      </x:c>
      <x:c r="Y12" s="14" t="n">
        <x:v>0</x:v>
      </x:c>
      <x:c r="Z12" s="14" t="n">
        <x:v>3.46</x:v>
      </x:c>
      <x:c r="AA12" s="28" t="n">
        <x:v>-1.165193158373722</x:v>
      </x:c>
      <x:c r="AB12" s="14" t="str">
        <x:v>P-gp models disagree; Synthetic accessibility excluded from ADMET interpretation</x:v>
      </x:c>
    </x:row>
    <x:row r="13">
      <x:c r="A13" s="14" t="str">
        <x:v>TSPO-C11</x:v>
      </x:c>
      <x:c r="B13" s="14" t="str">
        <x:v>A12</x:v>
      </x:c>
      <x:c r="C13" s="14" t="str">
        <x:v>A12</x:v>
      </x:c>
      <x:c r="D13" s="14" t="str">
        <x:v>emap3_Bn-3F_CH2CH2CF3</x:v>
      </x:c>
      <x:c r="E13" s="14" t="str">
        <x:v>CCN(Cc1cccc(F)c1)C(=O)Cn1c(=O)n(CC(F)(F)F)c2cnc(-c3ccccc3)nc21</x:v>
      </x:c>
      <x:c r="F13" s="14" t="str">
        <x:v>ZYDUWLRQXDFWQH-UHFFFAOYSA-N</x:v>
      </x:c>
      <x:c r="G13" s="14" t="str">
        <x:v>No</x:v>
      </x:c>
      <x:c r="H13" s="14" t="n">
        <x:v>-1.057</x:v>
      </x:c>
      <x:c r="I13" s="14" t="n">
        <x:v>-2.549</x:v>
      </x:c>
      <x:c r="J13" s="14" t="str">
        <x:v>No</x:v>
      </x:c>
      <x:c r="K13" s="14" t="str">
        <x:v>Concordant nonsupportive</x:v>
      </x:c>
      <x:c r="L13" s="14" t="str">
        <x:v>Yes</x:v>
      </x:c>
      <x:c r="M13" s="14" t="str">
        <x:v>No</x:v>
      </x:c>
      <x:c r="N13" s="14" t="str">
        <x:v>Discordant</x:v>
      </x:c>
      <x:c r="O13" s="14" t="n">
        <x:v>3.05</x:v>
      </x:c>
      <x:c r="P13" s="14" t="n">
        <x:v>73.02</x:v>
      </x:c>
      <x:c r="Q13" s="14" t="n">
        <x:v>-5.87</x:v>
      </x:c>
      <x:c r="R13" s="14" t="str">
        <x:v>No</x:v>
      </x:c>
      <x:c r="S13" s="14" t="str">
        <x:v>No</x:v>
      </x:c>
      <x:c r="T13" s="14" t="str">
        <x:v>Yes</x:v>
      </x:c>
      <x:c r="U13" s="14" t="str">
        <x:v>Yes</x:v>
      </x:c>
      <x:c r="V13" s="14" t="str">
        <x:v>hERG II; Hepatotoxicity</x:v>
      </x:c>
      <x:c r="W13" s="14" t="str">
        <x:v>One major modeled alert + hERG II</x:v>
      </x:c>
      <x:c r="X13" s="14" t="n">
        <x:v>0</x:v>
      </x:c>
      <x:c r="Y13" s="14" t="n">
        <x:v>0</x:v>
      </x:c>
      <x:c r="Z13" s="14" t="n">
        <x:v>3.36</x:v>
      </x:c>
      <x:c r="AA13" s="28" t="n">
        <x:v>-1.3332374355490406</x:v>
      </x:c>
      <x:c r="AB13" s="14" t="str">
        <x:v>P-gp models disagree; Synthetic accessibility excluded from ADMET interpretation</x:v>
      </x:c>
    </x:row>
    <x:row r="14">
      <x:c r="A14" s="14" t="str">
        <x:v>TSPO-C12</x:v>
      </x:c>
      <x:c r="B14" s="14" t="str">
        <x:v>A13</x:v>
      </x:c>
      <x:c r="C14" s="14" t="str">
        <x:v>A13</x:v>
      </x:c>
      <x:c r="D14" s="14" t="str">
        <x:v>emap3_Bn-3Cl_CH2F</x:v>
      </x:c>
      <x:c r="E14" s="14" t="str">
        <x:v>CCN(Cc1cccc(Cl)c1)C(=O)Cn1c(=O)n(CF)c2cnc(-c3ccccc3)nc21</x:v>
      </x:c>
      <x:c r="F14" s="14" t="str">
        <x:v>MKUDPGPAVJRDEW-UHFFFAOYSA-N</x:v>
      </x:c>
      <x:c r="G14" s="14" t="str">
        <x:v>No</x:v>
      </x:c>
      <x:c r="H14" s="14" t="n">
        <x:v>-1.287</x:v>
      </x:c>
      <x:c r="I14" s="14" t="n">
        <x:v>-2.295</x:v>
      </x:c>
      <x:c r="J14" s="14" t="str">
        <x:v>Yes</x:v>
      </x:c>
      <x:c r="K14" s="14" t="str">
        <x:v>Discordant</x:v>
      </x:c>
      <x:c r="L14" s="14" t="str">
        <x:v>Yes</x:v>
      </x:c>
      <x:c r="M14" s="14" t="str">
        <x:v>No</x:v>
      </x:c>
      <x:c r="N14" s="14" t="str">
        <x:v>Discordant</x:v>
      </x:c>
      <x:c r="O14" s="14" t="n">
        <x:v>2.44</x:v>
      </x:c>
      <x:c r="P14" s="14" t="n">
        <x:v>73.02</x:v>
      </x:c>
      <x:c r="Q14" s="14" t="n">
        <x:v>-5.68</x:v>
      </x:c>
      <x:c r="R14" s="14" t="str">
        <x:v>No</x:v>
      </x:c>
      <x:c r="S14" s="14" t="str">
        <x:v>No</x:v>
      </x:c>
      <x:c r="T14" s="14" t="str">
        <x:v>Yes</x:v>
      </x:c>
      <x:c r="U14" s="14" t="str">
        <x:v>Yes</x:v>
      </x:c>
      <x:c r="V14" s="14" t="str">
        <x:v>hERG II; Hepatotoxicity</x:v>
      </x:c>
      <x:c r="W14" s="14" t="str">
        <x:v>One major modeled alert + hERG II</x:v>
      </x:c>
      <x:c r="X14" s="14" t="n">
        <x:v>0</x:v>
      </x:c>
      <x:c r="Y14" s="14" t="n">
        <x:v>0</x:v>
      </x:c>
      <x:c r="Z14" s="14" t="n">
        <x:v>3.29</x:v>
      </x:c>
      <x:c r="AA14" s="28" t="n">
        <x:v>-0.7730262873525269</x:v>
      </x:c>
      <x:c r="AB14" s="14" t="str">
        <x:v>BBB models disagree; P-gp models disagree; Synthetic accessibility excluded from ADMET interpretation</x:v>
      </x:c>
    </x:row>
    <x:row r="15">
      <x:c r="A15" s="14" t="str">
        <x:v>TSPO-C13</x:v>
      </x:c>
      <x:c r="B15" s="14" t="str">
        <x:v>A14</x:v>
      </x:c>
      <x:c r="C15" s="14" t="str">
        <x:v>A14</x:v>
      </x:c>
      <x:c r="D15" s="14" t="str">
        <x:v>emap3_Bn-3,5diF_nPr</x:v>
      </x:c>
      <x:c r="E15" s="14" t="str">
        <x:v>CCCn1c(=O)n(CC(=O)N(CC)Cc2ccc(F)cc2F)c2nc(-c3ccccc3)ncc21</x:v>
      </x:c>
      <x:c r="F15" s="14" t="str">
        <x:v>XBLUWJWIYJRLOW-UHFFFAOYSA-N</x:v>
      </x:c>
      <x:c r="G15" s="14" t="str">
        <x:v>No</x:v>
      </x:c>
      <x:c r="H15" s="14" t="n">
        <x:v>-0.853</x:v>
      </x:c>
      <x:c r="I15" s="14" t="n">
        <x:v>-3.368</x:v>
      </x:c>
      <x:c r="J15" s="14" t="str">
        <x:v>No</x:v>
      </x:c>
      <x:c r="K15" s="14" t="str">
        <x:v>Concordant nonsupportive</x:v>
      </x:c>
      <x:c r="L15" s="14" t="str">
        <x:v>Yes</x:v>
      </x:c>
      <x:c r="M15" s="14" t="str">
        <x:v>No</x:v>
      </x:c>
      <x:c r="N15" s="14" t="str">
        <x:v>Discordant</x:v>
      </x:c>
      <x:c r="O15" s="14" t="n">
        <x:v>2.87</x:v>
      </x:c>
      <x:c r="P15" s="14" t="n">
        <x:v>73.02</x:v>
      </x:c>
      <x:c r="Q15" s="14" t="n">
        <x:v>-5.67</x:v>
      </x:c>
      <x:c r="R15" s="14" t="str">
        <x:v>No</x:v>
      </x:c>
      <x:c r="S15" s="14" t="str">
        <x:v>No</x:v>
      </x:c>
      <x:c r="T15" s="14" t="str">
        <x:v>Yes</x:v>
      </x:c>
      <x:c r="U15" s="14" t="str">
        <x:v>No</x:v>
      </x:c>
      <x:c r="V15" s="14" t="str">
        <x:v>hERG II</x:v>
      </x:c>
      <x:c r="W15" s="14" t="str">
        <x:v>Single hERG II alert</x:v>
      </x:c>
      <x:c r="X15" s="14" t="n">
        <x:v>0</x:v>
      </x:c>
      <x:c r="Y15" s="14" t="n">
        <x:v>0</x:v>
      </x:c>
      <x:c r="Z15" s="14" t="n">
        <x:v>3.48</x:v>
      </x:c>
      <x:c r="AA15" s="28" t="n">
        <x:v>-0.8007627117137853</x:v>
      </x:c>
      <x:c r="AB15" s="14" t="str">
        <x:v>P-gp models disagree; Synthetic accessibility excluded from ADMET interpretation</x:v>
      </x:c>
    </x:row>
    <x:row r="16">
      <x:c r="A16" s="14" t="str">
        <x:v>TSPO-C08</x:v>
      </x:c>
      <x:c r="B16" s="14" t="str">
        <x:v>A8</x:v>
      </x:c>
      <x:c r="C16" s="14" t="str">
        <x:v>A15</x:v>
      </x:c>
      <x:c r="D16" s="14" t="str">
        <x:v>emap3_Bn-3,4diCl_Me</x:v>
      </x:c>
      <x:c r="E16" s="14" t="str">
        <x:v>CCN(Cc1cc(Cl)ccc1Cl)C(=O)Cn1c(=O)n(C)c2cnc(-c3ccccc3)nc21</x:v>
      </x:c>
      <x:c r="F16" s="14" t="str">
        <x:v>SKIRNMQWXSZAMC-UHFFFAOYSA-N</x:v>
      </x:c>
      <x:c r="G16" s="14" t="str">
        <x:v>Yes</x:v>
      </x:c>
      <x:c r="H16" s="14" t="n">
        <x:v>-0.787</x:v>
      </x:c>
      <x:c r="I16" s="14" t="n">
        <x:v>-2.294</x:v>
      </x:c>
      <x:c r="J16" s="14" t="str">
        <x:v>Yes</x:v>
      </x:c>
      <x:c r="K16" s="14" t="str">
        <x:v>Concordant supportive</x:v>
      </x:c>
      <x:c r="L16" s="14" t="str">
        <x:v>Yes</x:v>
      </x:c>
      <x:c r="M16" s="14" t="str">
        <x:v>No</x:v>
      </x:c>
      <x:c r="N16" s="14" t="str">
        <x:v>Discordant</x:v>
      </x:c>
      <x:c r="O16" s="14" t="n">
        <x:v>2.62</x:v>
      </x:c>
      <x:c r="P16" s="14" t="n">
        <x:v>73.02</x:v>
      </x:c>
      <x:c r="Q16" s="14" t="n">
        <x:v>-6.01</x:v>
      </x:c>
      <x:c r="R16" s="14" t="str">
        <x:v>No</x:v>
      </x:c>
      <x:c r="S16" s="14" t="str">
        <x:v>No</x:v>
      </x:c>
      <x:c r="T16" s="14" t="str">
        <x:v>Yes</x:v>
      </x:c>
      <x:c r="U16" s="14" t="str">
        <x:v>No</x:v>
      </x:c>
      <x:c r="V16" s="14" t="str">
        <x:v>hERG II</x:v>
      </x:c>
      <x:c r="W16" s="14" t="str">
        <x:v>Single hERG II alert</x:v>
      </x:c>
      <x:c r="X16" s="14" t="n">
        <x:v>0</x:v>
      </x:c>
      <x:c r="Y16" s="14" t="n">
        <x:v>0</x:v>
      </x:c>
      <x:c r="Z16" s="14" t="n">
        <x:v>3.26</x:v>
      </x:c>
      <x:c r="AA16" s="28" t="n">
        <x:v>0.23870866572873606</x:v>
      </x:c>
      <x:c r="AB16" s="14" t="str">
        <x:v>Duplicate structure; retain both prediction records for reproducibility audit; P-gp models disagree; Synthetic accessibility excluded from ADMET interpretation</x:v>
      </x:c>
    </x:row>
    <x:row r="17">
      <x:c r="A17" s="14" t="str">
        <x:v>TSPO-C14</x:v>
      </x:c>
      <x:c r="B17" s="14" t="str">
        <x:v>A16</x:v>
      </x:c>
      <x:c r="C17" s="14" t="str">
        <x:v>A16</x:v>
      </x:c>
      <x:c r="D17" s="14" t="str">
        <x:v>emap3_Bn-3F_4OMe_CH2CHF2</x:v>
      </x:c>
      <x:c r="E17" s="14" t="str">
        <x:v>CCN(Cc1cc(OC)ccc1F)C(=O)Cn1c(=O)n(C(F)F)c2cnc(-c3ccccc3)nc21</x:v>
      </x:c>
      <x:c r="F17" s="14" t="str">
        <x:v>VTEVIRHJCWWDGU-UHFFFAOYSA-N</x:v>
      </x:c>
      <x:c r="G17" s="14" t="str">
        <x:v>No</x:v>
      </x:c>
      <x:c r="H17" s="14" t="n">
        <x:v>-1.155</x:v>
      </x:c>
      <x:c r="I17" s="14" t="n">
        <x:v>-3.546</x:v>
      </x:c>
      <x:c r="J17" s="14" t="str">
        <x:v>No</x:v>
      </x:c>
      <x:c r="K17" s="14" t="str">
        <x:v>Concordant nonsupportive</x:v>
      </x:c>
      <x:c r="L17" s="14" t="str">
        <x:v>Yes</x:v>
      </x:c>
      <x:c r="M17" s="14" t="str">
        <x:v>No</x:v>
      </x:c>
      <x:c r="N17" s="14" t="str">
        <x:v>Discordant</x:v>
      </x:c>
      <x:c r="O17" s="14" t="n">
        <x:v>2.43</x:v>
      </x:c>
      <x:c r="P17" s="14" t="n">
        <x:v>82.25</x:v>
      </x:c>
      <x:c r="Q17" s="14" t="n">
        <x:v>-5.72</x:v>
      </x:c>
      <x:c r="R17" s="14" t="str">
        <x:v>No</x:v>
      </x:c>
      <x:c r="S17" s="14" t="str">
        <x:v>No</x:v>
      </x:c>
      <x:c r="T17" s="14" t="str">
        <x:v>Yes</x:v>
      </x:c>
      <x:c r="U17" s="14" t="str">
        <x:v>No</x:v>
      </x:c>
      <x:c r="V17" s="14" t="str">
        <x:v>hERG II</x:v>
      </x:c>
      <x:c r="W17" s="14" t="str">
        <x:v>Single hERG II alert</x:v>
      </x:c>
      <x:c r="X17" s="14" t="n">
        <x:v>0</x:v>
      </x:c>
      <x:c r="Y17" s="14" t="n">
        <x:v>0</x:v>
      </x:c>
      <x:c r="Z17" s="14" t="n">
        <x:v>3.44</x:v>
      </x:c>
      <x:c r="AA17" s="28" t="n">
        <x:v>-1.4199958122157987</x:v>
      </x:c>
      <x:c r="AB17" s="14" t="str">
        <x:v>P-gp models disagree; Synthetic accessibility excluded from ADMET interpretation</x:v>
      </x:c>
    </x:row>
    <x:row r="18">
      <x:c r="A18" s="14" t="str">
        <x:v>TSPO-C15</x:v>
      </x:c>
      <x:c r="B18" s="14" t="str">
        <x:v>A17</x:v>
      </x:c>
      <x:c r="C18" s="14" t="str">
        <x:v>A17</x:v>
      </x:c>
      <x:c r="D18" s="14" t="str">
        <x:v>emap3_Bn-3CF3_4F_Me</x:v>
      </x:c>
      <x:c r="E18" s="14" t="str">
        <x:v>CCN(Cc1cc(F)ccc1C(F)(F)F)C(=O)Cn1c(=O)n(C)c2cnc(-c3ccccc3)nc21</x:v>
      </x:c>
      <x:c r="F18" s="14" t="str">
        <x:v>BMDVLVHNGCQESR-UHFFFAOYSA-N</x:v>
      </x:c>
      <x:c r="G18" s="14" t="str">
        <x:v>No</x:v>
      </x:c>
      <x:c r="H18" s="14" t="n">
        <x:v>-1.021</x:v>
      </x:c>
      <x:c r="I18" s="14" t="n">
        <x:v>-2.45</x:v>
      </x:c>
      <x:c r="J18" s="14" t="str">
        <x:v>No</x:v>
      </x:c>
      <x:c r="K18" s="14" t="str">
        <x:v>Concordant nonsupportive</x:v>
      </x:c>
      <x:c r="L18" s="14" t="str">
        <x:v>Yes</x:v>
      </x:c>
      <x:c r="M18" s="14" t="str">
        <x:v>No</x:v>
      </x:c>
      <x:c r="N18" s="14" t="str">
        <x:v>Discordant</x:v>
      </x:c>
      <x:c r="O18" s="14" t="n">
        <x:v>3.01</x:v>
      </x:c>
      <x:c r="P18" s="14" t="n">
        <x:v>73.02</x:v>
      </x:c>
      <x:c r="Q18" s="14" t="n">
        <x:v>-5.83</x:v>
      </x:c>
      <x:c r="R18" s="14" t="str">
        <x:v>No</x:v>
      </x:c>
      <x:c r="S18" s="14" t="str">
        <x:v>No</x:v>
      </x:c>
      <x:c r="T18" s="14" t="str">
        <x:v>Yes</x:v>
      </x:c>
      <x:c r="U18" s="14" t="str">
        <x:v>No</x:v>
      </x:c>
      <x:c r="V18" s="14" t="str">
        <x:v>hERG II</x:v>
      </x:c>
      <x:c r="W18" s="14" t="str">
        <x:v>Single hERG II alert</x:v>
      </x:c>
      <x:c r="X18" s="14" t="n">
        <x:v>0</x:v>
      </x:c>
      <x:c r="Y18" s="14" t="n">
        <x:v>0</x:v>
      </x:c>
      <x:c r="Z18" s="14" t="n">
        <x:v>3.35</x:v>
      </x:c>
      <x:c r="AA18" s="28" t="n">
        <x:v>-0.5154935566675217</x:v>
      </x:c>
      <x:c r="AB18" s="14" t="str">
        <x:v>P-gp models disagree; Synthetic accessibility excluded from ADMET interpretation</x:v>
      </x:c>
    </x:row>
    <x:row r="19">
      <x:c r="A19" s="14" t="str">
        <x:v>REF-AC5216</x:v>
      </x:c>
      <x:c r="B19" s="14" t="str">
        <x:v>AC-5216</x:v>
      </x:c>
      <x:c r="C19" s="14" t="str">
        <x:v>AC-5216</x:v>
      </x:c>
      <x:c r="D19" s="14" t="str">
        <x:v>AC5216</x:v>
      </x:c>
      <x:c r="E19" s="14" t="str">
        <x:v>CCN(Cc1ccccc1)C(=O)Cn1c(=O)n(C)c2cnc(-c3ccccc3)nc21</x:v>
      </x:c>
      <x:c r="F19" s="14" t="str">
        <x:v>NBMBIEOUVBHEBM-UHFFFAOYSA-N</x:v>
      </x:c>
      <x:c r="G19" s="14" t="str">
        <x:v>No</x:v>
      </x:c>
      <x:c r="H19" s="14" t="n">
        <x:v>-0.759</x:v>
      </x:c>
      <x:c r="I19" s="14" t="n">
        <x:v>-2.56</x:v>
      </x:c>
      <x:c r="J19" s="14" t="str">
        <x:v>Yes</x:v>
      </x:c>
      <x:c r="K19" s="14" t="str">
        <x:v>Concordant supportive</x:v>
      </x:c>
      <x:c r="L19" s="14" t="str">
        <x:v>Yes</x:v>
      </x:c>
      <x:c r="M19" s="14" t="str">
        <x:v>No</x:v>
      </x:c>
      <x:c r="N19" s="14" t="str">
        <x:v>Discordant</x:v>
      </x:c>
      <x:c r="O19" s="14" t="n">
        <x:v>1.48</x:v>
      </x:c>
      <x:c r="P19" s="14" t="n">
        <x:v>73.02</x:v>
      </x:c>
      <x:c r="Q19" s="14" t="n">
        <x:v>-4.82</x:v>
      </x:c>
      <x:c r="R19" s="14" t="str">
        <x:v>Yes</x:v>
      </x:c>
      <x:c r="S19" s="14" t="str">
        <x:v>No</x:v>
      </x:c>
      <x:c r="T19" s="14" t="str">
        <x:v>Yes</x:v>
      </x:c>
      <x:c r="U19" s="14" t="str">
        <x:v>No</x:v>
      </x:c>
      <x:c r="V19" s="14" t="str">
        <x:v>Ames; hERG II</x:v>
      </x:c>
      <x:c r="W19" s="14" t="str">
        <x:v>One major modeled alert + hERG II</x:v>
      </x:c>
      <x:c r="X19" s="14" t="n">
        <x:v>0</x:v>
      </x:c>
      <x:c r="Y19" s="14" t="n">
        <x:v>0</x:v>
      </x:c>
      <x:c r="Z19" s="14" t="n">
        <x:v>3.14</x:v>
      </x:c>
      <x:c r="AA19" s="28" t="n">
        <x:v>-0.3629825666275691</x:v>
      </x:c>
      <x:c r="AB19" s="14" t="str">
        <x:v>P-gp models disagree; Synthetic accessibility excluded from ADMET interpretation</x:v>
      </x:c>
    </x:row>
  </x:sheetData>
  <x:pageMargins left="0.7" right="0.7" top="0.75" bottom="0.75" header="0.3" footer="0.3"/>
  <x:tableParts count="1">
    <x:tablePart xmlns:r="http://schemas.openxmlformats.org/officeDocument/2006/relationships" r:id="Rba215331bd22459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34" hidden="0" customWidth="1"/>
  </x:cols>
  <x:sheetData>
    <x:row r="1" ht="38" customHeight="1">
      <x:c r="A1" s="6" t="str">
        <x:v>Final_Canonical_ID</x:v>
      </x:c>
      <x:c r="B1" s="6" t="str">
        <x:v>Legacy_Row_1</x:v>
      </x:c>
      <x:c r="C1" s="6" t="str">
        <x:v>Legacy_Row_2</x:v>
      </x:c>
      <x:c r="D1" s="6" t="str">
        <x:v>Endpoint</x:v>
      </x:c>
      <x:c r="E1" s="6" t="str">
        <x:v>Value_1</x:v>
      </x:c>
      <x:c r="F1" s="6" t="str">
        <x:v>Value_2</x:v>
      </x:c>
      <x:c r="G1" s="6" t="str">
        <x:v>Same</x:v>
      </x:c>
      <x:c r="H1" s="6" t="str">
        <x:v>Audit_Consequence</x:v>
      </x:c>
    </x:row>
    <x:row r="2">
      <x:c r="A2" s="14" t="str">
        <x:v>TSPO-C01</x:v>
      </x:c>
      <x:c r="B2" s="14" t="str">
        <x:v>A1</x:v>
      </x:c>
      <x:c r="C2" s="14" t="str">
        <x:v>A9</x:v>
      </x:c>
      <x:c r="D2" s="14" t="str">
        <x:v>BBB permeability</x:v>
      </x:c>
      <x:c r="E2" s="14" t="str">
        <x:v>-1.553</x:v>
      </x:c>
      <x:c r="F2" s="14" t="str">
        <x:v>-1.553</x:v>
      </x:c>
      <x:c r="G2" s="14" t="str">
        <x:v>Yes</x:v>
      </x:c>
      <x:c r="H2" s="14" t="str"/>
    </x:row>
    <x:row r="3">
      <x:c r="A3" s="14" t="str">
        <x:v>TSPO-C01</x:v>
      </x:c>
      <x:c r="B3" s="14" t="str">
        <x:v>A1</x:v>
      </x:c>
      <x:c r="C3" s="14" t="str">
        <x:v>A9</x:v>
      </x:c>
      <x:c r="D3" s="14" t="str">
        <x:v>CNS permeability</x:v>
      </x:c>
      <x:c r="E3" s="14" t="str">
        <x:v>-2.647</x:v>
      </x:c>
      <x:c r="F3" s="14" t="str">
        <x:v>-2.647</x:v>
      </x:c>
      <x:c r="G3" s="14" t="str">
        <x:v>Yes</x:v>
      </x:c>
      <x:c r="H3" s="14" t="str"/>
    </x:row>
    <x:row r="4">
      <x:c r="A4" s="14" t="str">
        <x:v>TSPO-C01</x:v>
      </x:c>
      <x:c r="B4" s="14" t="str">
        <x:v>A1</x:v>
      </x:c>
      <x:c r="C4" s="14" t="str">
        <x:v>A9</x:v>
      </x:c>
      <x:c r="D4" s="14" t="str">
        <x:v>BBB permeant</x:v>
      </x:c>
      <x:c r="E4" s="14" t="str">
        <x:v>No</x:v>
      </x:c>
      <x:c r="F4" s="14" t="str">
        <x:v>No</x:v>
      </x:c>
      <x:c r="G4" s="14" t="str">
        <x:v>Yes</x:v>
      </x:c>
      <x:c r="H4" s="14" t="str"/>
    </x:row>
    <x:row r="5">
      <x:c r="A5" s="14" t="str">
        <x:v>TSPO-C01</x:v>
      </x:c>
      <x:c r="B5" s="14" t="str">
        <x:v>A1</x:v>
      </x:c>
      <x:c r="C5" s="14" t="str">
        <x:v>A9</x:v>
      </x:c>
      <x:c r="D5" s="14" t="str">
        <x:v>P-glycoprotein substrate</x:v>
      </x:c>
      <x:c r="E5" s="14" t="str">
        <x:v>Yes</x:v>
      </x:c>
      <x:c r="F5" s="14" t="str">
        <x:v>Yes</x:v>
      </x:c>
      <x:c r="G5" s="14" t="str">
        <x:v>Yes</x:v>
      </x:c>
      <x:c r="H5" s="14" t="str"/>
    </x:row>
    <x:row r="6">
      <x:c r="A6" s="14" t="str">
        <x:v>TSPO-C01</x:v>
      </x:c>
      <x:c r="B6" s="14" t="str">
        <x:v>A1</x:v>
      </x:c>
      <x:c r="C6" s="14" t="str">
        <x:v>A9</x:v>
      </x:c>
      <x:c r="D6" s="14" t="str">
        <x:v>Pgp substrate</x:v>
      </x:c>
      <x:c r="E6" s="14" t="str">
        <x:v>No</x:v>
      </x:c>
      <x:c r="F6" s="14" t="str">
        <x:v>No</x:v>
      </x:c>
      <x:c r="G6" s="14" t="str">
        <x:v>Yes</x:v>
      </x:c>
      <x:c r="H6" s="14" t="str"/>
    </x:row>
    <x:row r="7">
      <x:c r="A7" s="14" t="str">
        <x:v>TSPO-C01</x:v>
      </x:c>
      <x:c r="B7" s="14" t="str">
        <x:v>A1</x:v>
      </x:c>
      <x:c r="C7" s="14" t="str">
        <x:v>A9</x:v>
      </x:c>
      <x:c r="D7" s="14" t="str">
        <x:v>Consensus Log P</x:v>
      </x:c>
      <x:c r="E7" s="14" t="str">
        <x:v>2.48</x:v>
      </x:c>
      <x:c r="F7" s="14" t="str">
        <x:v>2.48</x:v>
      </x:c>
      <x:c r="G7" s="14" t="str">
        <x:v>Yes</x:v>
      </x:c>
      <x:c r="H7" s="14" t="str"/>
    </x:row>
    <x:row r="8">
      <x:c r="A8" s="14" t="str">
        <x:v>TSPO-C01</x:v>
      </x:c>
      <x:c r="B8" s="14" t="str">
        <x:v>A1</x:v>
      </x:c>
      <x:c r="C8" s="14" t="str">
        <x:v>A9</x:v>
      </x:c>
      <x:c r="D8" s="14" t="str">
        <x:v>TPSA</x:v>
      </x:c>
      <x:c r="E8" s="14" t="str">
        <x:v>82.25</x:v>
      </x:c>
      <x:c r="F8" s="14" t="str">
        <x:v>82.25</x:v>
      </x:c>
      <x:c r="G8" s="14" t="str">
        <x:v>Yes</x:v>
      </x:c>
      <x:c r="H8" s="14" t="str"/>
    </x:row>
    <x:row r="9">
      <x:c r="A9" s="14" t="str">
        <x:v>TSPO-C01</x:v>
      </x:c>
      <x:c r="B9" s="14" t="str">
        <x:v>A1</x:v>
      </x:c>
      <x:c r="C9" s="14" t="str">
        <x:v>A9</x:v>
      </x:c>
      <x:c r="D9" s="14" t="str">
        <x:v>ESOL Log S</x:v>
      </x:c>
      <x:c r="E9" s="14" t="str">
        <x:v>-5.88</x:v>
      </x:c>
      <x:c r="F9" s="14" t="str">
        <x:v>-5.88</x:v>
      </x:c>
      <x:c r="G9" s="14" t="str">
        <x:v>Yes</x:v>
      </x:c>
      <x:c r="H9" s="14" t="str"/>
    </x:row>
    <x:row r="10">
      <x:c r="A10" s="14" t="str">
        <x:v>TSPO-C01</x:v>
      </x:c>
      <x:c r="B10" s="14" t="str">
        <x:v>A1</x:v>
      </x:c>
      <x:c r="C10" s="14" t="str">
        <x:v>A9</x:v>
      </x:c>
      <x:c r="D10" s="14" t="str">
        <x:v>AMES toxicity</x:v>
      </x:c>
      <x:c r="E10" s="14" t="str">
        <x:v>Yes</x:v>
      </x:c>
      <x:c r="F10" s="14" t="str">
        <x:v>Yes</x:v>
      </x:c>
      <x:c r="G10" s="14" t="str">
        <x:v>Yes</x:v>
      </x:c>
      <x:c r="H10" s="14" t="str"/>
    </x:row>
    <x:row r="11">
      <x:c r="A11" s="14" t="str">
        <x:v>TSPO-C01</x:v>
      </x:c>
      <x:c r="B11" s="14" t="str">
        <x:v>A1</x:v>
      </x:c>
      <x:c r="C11" s="14" t="str">
        <x:v>A9</x:v>
      </x:c>
      <x:c r="D11" s="14" t="str">
        <x:v>hERG I inhibitor</x:v>
      </x:c>
      <x:c r="E11" s="14" t="str">
        <x:v>No</x:v>
      </x:c>
      <x:c r="F11" s="14" t="str">
        <x:v>No</x:v>
      </x:c>
      <x:c r="G11" s="14" t="str">
        <x:v>Yes</x:v>
      </x:c>
      <x:c r="H11" s="14" t="str"/>
    </x:row>
    <x:row r="12">
      <x:c r="A12" s="14" t="str">
        <x:v>TSPO-C01</x:v>
      </x:c>
      <x:c r="B12" s="14" t="str">
        <x:v>A1</x:v>
      </x:c>
      <x:c r="C12" s="14" t="str">
        <x:v>A9</x:v>
      </x:c>
      <x:c r="D12" s="14" t="str">
        <x:v>hERG II inhibitor</x:v>
      </x:c>
      <x:c r="E12" s="14" t="str">
        <x:v>Yes</x:v>
      </x:c>
      <x:c r="F12" s="14" t="str">
        <x:v>Yes</x:v>
      </x:c>
      <x:c r="G12" s="14" t="str">
        <x:v>Yes</x:v>
      </x:c>
      <x:c r="H12" s="14" t="str"/>
    </x:row>
    <x:row r="13">
      <x:c r="A13" s="14" t="str">
        <x:v>TSPO-C01</x:v>
      </x:c>
      <x:c r="B13" s="14" t="str">
        <x:v>A1</x:v>
      </x:c>
      <x:c r="C13" s="14" t="str">
        <x:v>A9</x:v>
      </x:c>
      <x:c r="D13" s="14" t="str">
        <x:v>Hepatotoxicity</x:v>
      </x:c>
      <x:c r="E13" s="14" t="str">
        <x:v>No</x:v>
      </x:c>
      <x:c r="F13" s="14" t="str">
        <x:v>No</x:v>
      </x:c>
      <x:c r="G13" s="14" t="str">
        <x:v>Yes</x:v>
      </x:c>
      <x:c r="H13" s="14" t="str"/>
    </x:row>
    <x:row r="14">
      <x:c r="A14" s="14" t="str">
        <x:v>TSPO-C01</x:v>
      </x:c>
      <x:c r="B14" s="14" t="str">
        <x:v>A1</x:v>
      </x:c>
      <x:c r="C14" s="14" t="str">
        <x:v>A9</x:v>
      </x:c>
      <x:c r="D14" s="14" t="str">
        <x:v>PAINS #alerts</x:v>
      </x:c>
      <x:c r="E14" s="14" t="str">
        <x:v>0</x:v>
      </x:c>
      <x:c r="F14" s="14" t="str">
        <x:v>0</x:v>
      </x:c>
      <x:c r="G14" s="14" t="str">
        <x:v>Yes</x:v>
      </x:c>
      <x:c r="H14" s="14" t="str"/>
    </x:row>
    <x:row r="15">
      <x:c r="A15" s="14" t="str">
        <x:v>TSPO-C01</x:v>
      </x:c>
      <x:c r="B15" s="14" t="str">
        <x:v>A1</x:v>
      </x:c>
      <x:c r="C15" s="14" t="str">
        <x:v>A9</x:v>
      </x:c>
      <x:c r="D15" s="14" t="str">
        <x:v>Brenk #alerts</x:v>
      </x:c>
      <x:c r="E15" s="14" t="str">
        <x:v>0</x:v>
      </x:c>
      <x:c r="F15" s="14" t="str">
        <x:v>0</x:v>
      </x:c>
      <x:c r="G15" s="14" t="str">
        <x:v>Yes</x:v>
      </x:c>
      <x:c r="H15" s="14" t="str"/>
    </x:row>
    <x:row r="16">
      <x:c r="A16" s="14" t="str">
        <x:v>TSPO-C01</x:v>
      </x:c>
      <x:c r="B16" s="14" t="str">
        <x:v>A1</x:v>
      </x:c>
      <x:c r="C16" s="14" t="str">
        <x:v>A9</x:v>
      </x:c>
      <x:c r="D16" s="14" t="str">
        <x:v>Synthetic Accessibility</x:v>
      </x:c>
      <x:c r="E16" s="14" t="str">
        <x:v>3.31</x:v>
      </x:c>
      <x:c r="F16" s="14" t="str">
        <x:v>3.31</x:v>
      </x:c>
      <x:c r="G16" s="14" t="str">
        <x:v>Yes</x:v>
      </x:c>
      <x:c r="H16" s="14" t="str"/>
    </x:row>
    <x:row r="17">
      <x:c r="A17" s="14" t="str">
        <x:v>TSPO-C08</x:v>
      </x:c>
      <x:c r="B17" s="14" t="str">
        <x:v>A8</x:v>
      </x:c>
      <x:c r="C17" s="14" t="str">
        <x:v>A15</x:v>
      </x:c>
      <x:c r="D17" s="14" t="str">
        <x:v>BBB permeability</x:v>
      </x:c>
      <x:c r="E17" s="14" t="str">
        <x:v>-0.931</x:v>
      </x:c>
      <x:c r="F17" s="14" t="str">
        <x:v>-0.787</x:v>
      </x:c>
      <x:c r="G17" s="14" t="str">
        <x:v>No</x:v>
      </x:c>
      <x:c r="H17" s="14" t="str">
        <x:v>Identical structure yielded different prediction; retain as model/run uncertainty</x:v>
      </x:c>
    </x:row>
    <x:row r="18">
      <x:c r="A18" s="14" t="str">
        <x:v>TSPO-C08</x:v>
      </x:c>
      <x:c r="B18" s="14" t="str">
        <x:v>A8</x:v>
      </x:c>
      <x:c r="C18" s="14" t="str">
        <x:v>A15</x:v>
      </x:c>
      <x:c r="D18" s="14" t="str">
        <x:v>CNS permeability</x:v>
      </x:c>
      <x:c r="E18" s="14" t="str">
        <x:v>-2.339</x:v>
      </x:c>
      <x:c r="F18" s="14" t="str">
        <x:v>-2.294</x:v>
      </x:c>
      <x:c r="G18" s="14" t="str">
        <x:v>No</x:v>
      </x:c>
      <x:c r="H18" s="14" t="str">
        <x:v>Identical structure yielded different prediction; retain as model/run uncertainty</x:v>
      </x:c>
    </x:row>
    <x:row r="19">
      <x:c r="A19" s="14" t="str">
        <x:v>TSPO-C08</x:v>
      </x:c>
      <x:c r="B19" s="14" t="str">
        <x:v>A8</x:v>
      </x:c>
      <x:c r="C19" s="14" t="str">
        <x:v>A15</x:v>
      </x:c>
      <x:c r="D19" s="14" t="str">
        <x:v>BBB permeant</x:v>
      </x:c>
      <x:c r="E19" s="14" t="str">
        <x:v>Yes</x:v>
      </x:c>
      <x:c r="F19" s="14" t="str">
        <x:v>Yes</x:v>
      </x:c>
      <x:c r="G19" s="14" t="str">
        <x:v>Yes</x:v>
      </x:c>
      <x:c r="H19" s="14" t="str"/>
    </x:row>
    <x:row r="20">
      <x:c r="A20" s="14" t="str">
        <x:v>TSPO-C08</x:v>
      </x:c>
      <x:c r="B20" s="14" t="str">
        <x:v>A8</x:v>
      </x:c>
      <x:c r="C20" s="14" t="str">
        <x:v>A15</x:v>
      </x:c>
      <x:c r="D20" s="14" t="str">
        <x:v>P-glycoprotein substrate</x:v>
      </x:c>
      <x:c r="E20" s="14" t="str">
        <x:v>Yes</x:v>
      </x:c>
      <x:c r="F20" s="14" t="str">
        <x:v>Yes</x:v>
      </x:c>
      <x:c r="G20" s="14" t="str">
        <x:v>Yes</x:v>
      </x:c>
      <x:c r="H20" s="14" t="str"/>
    </x:row>
    <x:row r="21">
      <x:c r="A21" s="14" t="str">
        <x:v>TSPO-C08</x:v>
      </x:c>
      <x:c r="B21" s="14" t="str">
        <x:v>A8</x:v>
      </x:c>
      <x:c r="C21" s="14" t="str">
        <x:v>A15</x:v>
      </x:c>
      <x:c r="D21" s="14" t="str">
        <x:v>Pgp substrate</x:v>
      </x:c>
      <x:c r="E21" s="14" t="str">
        <x:v>No</x:v>
      </x:c>
      <x:c r="F21" s="14" t="str">
        <x:v>No</x:v>
      </x:c>
      <x:c r="G21" s="14" t="str">
        <x:v>Yes</x:v>
      </x:c>
      <x:c r="H21" s="14" t="str"/>
    </x:row>
    <x:row r="22">
      <x:c r="A22" s="14" t="str">
        <x:v>TSPO-C08</x:v>
      </x:c>
      <x:c r="B22" s="14" t="str">
        <x:v>A8</x:v>
      </x:c>
      <x:c r="C22" s="14" t="str">
        <x:v>A15</x:v>
      </x:c>
      <x:c r="D22" s="14" t="str">
        <x:v>Consensus Log P</x:v>
      </x:c>
      <x:c r="E22" s="14" t="str">
        <x:v>2.68</x:v>
      </x:c>
      <x:c r="F22" s="14" t="str">
        <x:v>2.62</x:v>
      </x:c>
      <x:c r="G22" s="14" t="str">
        <x:v>No</x:v>
      </x:c>
      <x:c r="H22" s="14" t="str">
        <x:v>Identical structure yielded different prediction; retain as model/run uncertainty</x:v>
      </x:c>
    </x:row>
    <x:row r="23">
      <x:c r="A23" s="14" t="str">
        <x:v>TSPO-C08</x:v>
      </x:c>
      <x:c r="B23" s="14" t="str">
        <x:v>A8</x:v>
      </x:c>
      <x:c r="C23" s="14" t="str">
        <x:v>A15</x:v>
      </x:c>
      <x:c r="D23" s="14" t="str">
        <x:v>TPSA</x:v>
      </x:c>
      <x:c r="E23" s="14" t="str">
        <x:v>73.02</x:v>
      </x:c>
      <x:c r="F23" s="14" t="str">
        <x:v>73.02</x:v>
      </x:c>
      <x:c r="G23" s="14" t="str">
        <x:v>Yes</x:v>
      </x:c>
      <x:c r="H23" s="14" t="str"/>
    </x:row>
    <x:row r="24">
      <x:c r="A24" s="14" t="str">
        <x:v>TSPO-C08</x:v>
      </x:c>
      <x:c r="B24" s="14" t="str">
        <x:v>A8</x:v>
      </x:c>
      <x:c r="C24" s="14" t="str">
        <x:v>A15</x:v>
      </x:c>
      <x:c r="D24" s="14" t="str">
        <x:v>ESOL Log S</x:v>
      </x:c>
      <x:c r="E24" s="14" t="str">
        <x:v>-6.01</x:v>
      </x:c>
      <x:c r="F24" s="14" t="str">
        <x:v>-6.01</x:v>
      </x:c>
      <x:c r="G24" s="14" t="str">
        <x:v>Yes</x:v>
      </x:c>
      <x:c r="H24" s="14" t="str"/>
    </x:row>
    <x:row r="25">
      <x:c r="A25" s="14" t="str">
        <x:v>TSPO-C08</x:v>
      </x:c>
      <x:c r="B25" s="14" t="str">
        <x:v>A8</x:v>
      </x:c>
      <x:c r="C25" s="14" t="str">
        <x:v>A15</x:v>
      </x:c>
      <x:c r="D25" s="14" t="str">
        <x:v>AMES toxicity</x:v>
      </x:c>
      <x:c r="E25" s="14" t="str">
        <x:v>Yes</x:v>
      </x:c>
      <x:c r="F25" s="14" t="str">
        <x:v>No</x:v>
      </x:c>
      <x:c r="G25" s="14" t="str">
        <x:v>No</x:v>
      </x:c>
      <x:c r="H25" s="14" t="str">
        <x:v>Identical structure yielded different prediction; retain as model/run uncertainty; invalidates favorable A15-only safety interpretation</x:v>
      </x:c>
    </x:row>
    <x:row r="26">
      <x:c r="A26" s="14" t="str">
        <x:v>TSPO-C08</x:v>
      </x:c>
      <x:c r="B26" s="14" t="str">
        <x:v>A8</x:v>
      </x:c>
      <x:c r="C26" s="14" t="str">
        <x:v>A15</x:v>
      </x:c>
      <x:c r="D26" s="14" t="str">
        <x:v>hERG I inhibitor</x:v>
      </x:c>
      <x:c r="E26" s="14" t="str">
        <x:v>No</x:v>
      </x:c>
      <x:c r="F26" s="14" t="str">
        <x:v>No</x:v>
      </x:c>
      <x:c r="G26" s="14" t="str">
        <x:v>Yes</x:v>
      </x:c>
      <x:c r="H26" s="14" t="str"/>
    </x:row>
    <x:row r="27">
      <x:c r="A27" s="14" t="str">
        <x:v>TSPO-C08</x:v>
      </x:c>
      <x:c r="B27" s="14" t="str">
        <x:v>A8</x:v>
      </x:c>
      <x:c r="C27" s="14" t="str">
        <x:v>A15</x:v>
      </x:c>
      <x:c r="D27" s="14" t="str">
        <x:v>hERG II inhibitor</x:v>
      </x:c>
      <x:c r="E27" s="14" t="str">
        <x:v>Yes</x:v>
      </x:c>
      <x:c r="F27" s="14" t="str">
        <x:v>Yes</x:v>
      </x:c>
      <x:c r="G27" s="14" t="str">
        <x:v>Yes</x:v>
      </x:c>
      <x:c r="H27" s="14" t="str"/>
    </x:row>
    <x:row r="28">
      <x:c r="A28" s="14" t="str">
        <x:v>TSPO-C08</x:v>
      </x:c>
      <x:c r="B28" s="14" t="str">
        <x:v>A8</x:v>
      </x:c>
      <x:c r="C28" s="14" t="str">
        <x:v>A15</x:v>
      </x:c>
      <x:c r="D28" s="14" t="str">
        <x:v>Hepatotoxicity</x:v>
      </x:c>
      <x:c r="E28" s="14" t="str">
        <x:v>No</x:v>
      </x:c>
      <x:c r="F28" s="14" t="str">
        <x:v>No</x:v>
      </x:c>
      <x:c r="G28" s="14" t="str">
        <x:v>Yes</x:v>
      </x:c>
      <x:c r="H28" s="14" t="str"/>
    </x:row>
    <x:row r="29">
      <x:c r="A29" s="14" t="str">
        <x:v>TSPO-C08</x:v>
      </x:c>
      <x:c r="B29" s="14" t="str">
        <x:v>A8</x:v>
      </x:c>
      <x:c r="C29" s="14" t="str">
        <x:v>A15</x:v>
      </x:c>
      <x:c r="D29" s="14" t="str">
        <x:v>PAINS #alerts</x:v>
      </x:c>
      <x:c r="E29" s="14" t="str">
        <x:v>0</x:v>
      </x:c>
      <x:c r="F29" s="14" t="str">
        <x:v>0</x:v>
      </x:c>
      <x:c r="G29" s="14" t="str">
        <x:v>Yes</x:v>
      </x:c>
      <x:c r="H29" s="14" t="str"/>
    </x:row>
    <x:row r="30">
      <x:c r="A30" s="14" t="str">
        <x:v>TSPO-C08</x:v>
      </x:c>
      <x:c r="B30" s="14" t="str">
        <x:v>A8</x:v>
      </x:c>
      <x:c r="C30" s="14" t="str">
        <x:v>A15</x:v>
      </x:c>
      <x:c r="D30" s="14" t="str">
        <x:v>Brenk #alerts</x:v>
      </x:c>
      <x:c r="E30" s="14" t="str">
        <x:v>0</x:v>
      </x:c>
      <x:c r="F30" s="14" t="str">
        <x:v>0</x:v>
      </x:c>
      <x:c r="G30" s="14" t="str">
        <x:v>Yes</x:v>
      </x:c>
      <x:c r="H30" s="14" t="str"/>
    </x:row>
    <x:row r="31">
      <x:c r="A31" s="14" t="str">
        <x:v>TSPO-C08</x:v>
      </x:c>
      <x:c r="B31" s="14" t="str">
        <x:v>A8</x:v>
      </x:c>
      <x:c r="C31" s="14" t="str">
        <x:v>A15</x:v>
      </x:c>
      <x:c r="D31" s="14" t="str">
        <x:v>Synthetic Accessibility</x:v>
      </x:c>
      <x:c r="E31" s="14" t="str">
        <x:v>3.26</x:v>
      </x:c>
      <x:c r="F31" s="14" t="str">
        <x:v>3.26</x:v>
      </x:c>
      <x:c r="G31" s="14" t="str">
        <x:v>Yes</x:v>
      </x:c>
      <x:c r="H31" s="14" t="str"/>
    </x:row>
  </x:sheetData>
  <x:conditionalFormatting sqref="G2:G31">
    <x:cfRule type="expression" dxfId="0" priority="1">
      <x:formula>G2="No"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b3df0a2cc7442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34" hidden="0" customWidth="1"/>
    <x:col min="5" max="5" width="24" hidden="0" customWidth="1"/>
  </x:cols>
  <x:sheetData>
    <x:row r="1" ht="38" customHeight="1">
      <x:c r="A1" s="6" t="str">
        <x:v>Domain</x:v>
      </x:c>
      <x:c r="B1" s="6" t="str">
        <x:v>Endpoint</x:v>
      </x:c>
      <x:c r="C1" s="6" t="str">
        <x:v>Source</x:v>
      </x:c>
      <x:c r="D1" s="6" t="str">
        <x:v>Interpretation</x:v>
      </x:c>
      <x:c r="E1" s="6" t="str">
        <x:v>Use_in_Revised_Analysis</x:v>
      </x:c>
    </x:row>
    <x:row r="2">
      <x:c r="A2" s="14" t="str">
        <x:v>CNS disposition</x:v>
      </x:c>
      <x:c r="B2" s="14" t="str">
        <x:v>BBB permeability (logBB)</x:v>
      </x:c>
      <x:c r="C2" s="14" t="str">
        <x:v>pkCSM</x:v>
      </x:c>
      <x:c r="D2" s="14" t="str">
        <x:v>Higher is more supportive; &gt;-1 used only as a coarse support rule</x:v>
      </x:c>
      <x:c r="E2" s="14" t="str">
        <x:v>Report raw value</x:v>
      </x:c>
    </x:row>
    <x:row r="3">
      <x:c r="A3" s="14" t="str">
        <x:v>CNS disposition</x:v>
      </x:c>
      <x:c r="B3" s="14" t="str">
        <x:v>CNS permeability (logPS)</x:v>
      </x:c>
      <x:c r="C3" s="14" t="str">
        <x:v>pkCSM</x:v>
      </x:c>
      <x:c r="D3" s="14" t="str">
        <x:v>Higher is more supportive; &gt;-3 used only as a coarse support rule</x:v>
      </x:c>
      <x:c r="E3" s="14" t="str">
        <x:v>Report raw value</x:v>
      </x:c>
    </x:row>
    <x:row r="4">
      <x:c r="A4" s="14" t="str">
        <x:v>CNS disposition</x:v>
      </x:c>
      <x:c r="B4" s="14" t="str">
        <x:v>BBB permeant</x:v>
      </x:c>
      <x:c r="C4" s="14" t="str">
        <x:v>SwissADME</x:v>
      </x:c>
      <x:c r="D4" s="14" t="str">
        <x:v>Categorical model output</x:v>
      </x:c>
      <x:c r="E4" s="14" t="str">
        <x:v>Report with pkCSM concordance</x:v>
      </x:c>
    </x:row>
    <x:row r="5">
      <x:c r="A5" s="14" t="str">
        <x:v>Transport</x:v>
      </x:c>
      <x:c r="B5" s="14" t="str">
        <x:v>P-glycoprotein substrate</x:v>
      </x:c>
      <x:c r="C5" s="14" t="str">
        <x:v>pkCSM</x:v>
      </x:c>
      <x:c r="D5" s="14" t="str">
        <x:v>Categorical model output</x:v>
      </x:c>
      <x:c r="E5" s="14" t="str">
        <x:v>Report raw call</x:v>
      </x:c>
    </x:row>
    <x:row r="6">
      <x:c r="A6" s="14" t="str">
        <x:v>Transport</x:v>
      </x:c>
      <x:c r="B6" s="14" t="str">
        <x:v>Pgp substrate</x:v>
      </x:c>
      <x:c r="C6" s="14" t="str">
        <x:v>SwissADME</x:v>
      </x:c>
      <x:c r="D6" s="14" t="str">
        <x:v>Categorical model output</x:v>
      </x:c>
      <x:c r="E6" s="14" t="str">
        <x:v>Report with concordance/discordance</x:v>
      </x:c>
    </x:row>
    <x:row r="7">
      <x:c r="A7" s="14" t="str">
        <x:v>Safety</x:v>
      </x:c>
      <x:c r="B7" s="14" t="str">
        <x:v>Ames toxicity</x:v>
      </x:c>
      <x:c r="C7" s="14" t="str">
        <x:v>pkCSM</x:v>
      </x:c>
      <x:c r="D7" s="14" t="str">
        <x:v>Predicted mutagenicity alert</x:v>
      </x:c>
      <x:c r="E7" s="14" t="str">
        <x:v>Flag; no numeric penalty</x:v>
      </x:c>
    </x:row>
    <x:row r="8">
      <x:c r="A8" s="14" t="str">
        <x:v>Safety</x:v>
      </x:c>
      <x:c r="B8" s="14" t="str">
        <x:v>hERG I/II inhibitor</x:v>
      </x:c>
      <x:c r="C8" s="14" t="str">
        <x:v>pkCSM</x:v>
      </x:c>
      <x:c r="D8" s="14" t="str">
        <x:v>Predicted cardiac ion-channel liability</x:v>
      </x:c>
      <x:c r="E8" s="14" t="str">
        <x:v>Flag separately; no numeric penalty</x:v>
      </x:c>
    </x:row>
    <x:row r="9">
      <x:c r="A9" s="14" t="str">
        <x:v>Safety</x:v>
      </x:c>
      <x:c r="B9" s="14" t="str">
        <x:v>Hepatotoxicity</x:v>
      </x:c>
      <x:c r="C9" s="14" t="str">
        <x:v>pkCSM</x:v>
      </x:c>
      <x:c r="D9" s="14" t="str">
        <x:v>Predicted liver-liability alert</x:v>
      </x:c>
      <x:c r="E9" s="14" t="str">
        <x:v>Flag; no numeric penalty</x:v>
      </x:c>
    </x:row>
    <x:row r="10">
      <x:c r="A10" s="14" t="str">
        <x:v>Medicinal chemistry</x:v>
      </x:c>
      <x:c r="B10" s="14" t="str">
        <x:v>PAINS/Brenk alerts</x:v>
      </x:c>
      <x:c r="C10" s="14" t="str">
        <x:v>SwissADME</x:v>
      </x:c>
      <x:c r="D10" s="14" t="str">
        <x:v>Structural alerts requiring review, not automatic failure</x:v>
      </x:c>
      <x:c r="E10" s="14" t="str">
        <x:v>Report counts</x:v>
      </x:c>
    </x:row>
    <x:row r="11">
      <x:c r="A11" s="14" t="str">
        <x:v>Physicochemical</x:v>
      </x:c>
      <x:c r="B11" s="14" t="str">
        <x:v>Consensus Log P/TPSA/ESOL Log S</x:v>
      </x:c>
      <x:c r="C11" s="14" t="str">
        <x:v>SwissADME</x:v>
      </x:c>
      <x:c r="D11" s="14" t="str">
        <x:v>Descriptive developability context</x:v>
      </x:c>
      <x:c r="E11" s="14" t="str">
        <x:v>Report raw values; no composite z-score</x:v>
      </x:c>
    </x:row>
    <x:row r="12">
      <x:c r="A12" s="14" t="str">
        <x:v>Synthesis</x:v>
      </x:c>
      <x:c r="B12" s="14" t="str">
        <x:v>Synthetic Accessibility</x:v>
      </x:c>
      <x:c r="C12" s="14" t="str">
        <x:v>SwissADME</x:v>
      </x:c>
      <x:c r="D12" s="14" t="str">
        <x:v>Heuristic synthesis complexity</x:v>
      </x:c>
      <x:c r="E12" s="14" t="str">
        <x:v>Removed from ADMET; report with ASKCOS</x:v>
      </x:c>
    </x:row>
    <x:row r="13">
      <x:c r="A13" s="14" t="str">
        <x:v>Retired</x:v>
      </x:c>
      <x:c r="B13" s="14" t="str">
        <x:v>decision_score</x:v>
      </x:c>
      <x:c r="C13" s="14" t="str">
        <x:v>Custom script</x:v>
      </x:c>
      <x:c r="D13" s="14" t="str">
        <x:v>Untrained z-score/penalty composite</x:v>
      </x:c>
      <x:c r="E13" s="14" t="str">
        <x:v>Retain only for audit provenance; do not interpret</x:v>
      </x:c>
    </x:row>
  </x:sheetData>
  <x:pageMargins left="0.7" right="0.7" top="0.75" bottom="0.75" header="0.3" footer="0.3"/>
  <x:tableParts count="1">
    <x:tablePart xmlns:r="http://schemas.openxmlformats.org/officeDocument/2006/relationships" r:id="R4cb8e2101c8245a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 ht="28" customHeight="1">
      <x:c r="A1" s="24" t="str">
        <x:v>ADMET Audit — Key Conclusions</x:v>
      </x:c>
      <x:c r="B1" s="12" t="str"/>
    </x:row>
    <x:row r="2">
      <x:c r="A2" s="25" t="str">
        <x:v>Old composite</x:v>
      </x:c>
      <x:c r="B2" s="12" t="str">
        <x:v>Retire the continuous/categorical decision score from scientific interpretation.</x:v>
      </x:c>
    </x:row>
    <x:row r="3">
      <x:c r="A3" s="25" t="str">
        <x:v>Synthetic accessibility</x:v>
      </x:c>
      <x:c r="B3" s="12" t="str">
        <x:v>Remove from ADMET and report under synthesis/developability with ASKCOS.</x:v>
      </x:c>
    </x:row>
    <x:row r="4">
      <x:c r="A4" s="25" t="str">
        <x:v>Duplicate A1/A9</x:v>
      </x:c>
      <x:c r="B4" s="12" t="str">
        <x:v>Identical structure produced concordant ADMET outputs.</x:v>
      </x:c>
    </x:row>
    <x:row r="5">
      <x:c r="A5" s="25" t="str">
        <x:v>Duplicate A8/A15</x:v>
      </x:c>
      <x:c r="B5" s="12" t="str">
        <x:v>Identical structure produced discordant outputs, including Ames Yes for A8 versus No for A15.</x:v>
      </x:c>
    </x:row>
    <x:row r="6">
      <x:c r="A6" s="25" t="str">
        <x:v>Critical consequence</x:v>
      </x:c>
      <x:c r="B6" s="12" t="str">
        <x:v>The prior claim that A15 was the strongest ADMET candidate is not defensible; it selected the favorable result from a duplicate structure.</x:v>
      </x:c>
    </x:row>
    <x:row r="7">
      <x:c r="A7" s="25" t="str">
        <x:v>Correct treatment</x:v>
      </x:c>
      <x:c r="B7" s="12" t="str">
        <x:v>Preserve both prediction records as a model/run-uncertainty audit. Do not average categorical alerts or choose the favorable duplicate.</x:v>
      </x:c>
    </x:row>
    <x:row r="8">
      <x:c r="A8" s="25" t="str">
        <x:v>Revised presentation</x:v>
      </x:c>
      <x:c r="B8" s="12" t="str">
        <x:v>Report raw CNS-disposition, transport, safety, and medicinal-chemistry outputs by domain.</x:v>
      </x:c>
    </x:row>
    <x:row r="9">
      <x:c r="A9" s="25" t="str">
        <x:v>MD implication</x:v>
      </x:c>
      <x:c r="B9" s="12" t="str">
        <x:v>Canonical A8 remains eligible for 10 ns based on corrected 1 ns retention, but not because of an A15-specific ADMET advantage.</x:v>
      </x:c>
    </x:row>
  </x:sheetData>
  <x:mergeCells>
    <x:mergeCell ref="A1:B1"/>
  </x:mergeCells>
  <x:pageMargins left="0.7" right="0.7" top="0.75" bottom="0.75" header="0.3" footer="0.3"/>
</x:worksheet>
</file>