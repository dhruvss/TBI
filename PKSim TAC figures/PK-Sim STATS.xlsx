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5216_Human_IVBolus_0p01mg" sheetId="1" r:id="rId5"/>
    <sheet state="visible" name="PKMASTER" sheetId="2" r:id="rId6"/>
    <sheet state="visible" name="Sheet2" sheetId="3" r:id="rId7"/>
    <sheet state="visible" name="AC5216Global" sheetId="4" r:id="rId8"/>
    <sheet state="visible" name="PK-Analyses" sheetId="5" r:id="rId9"/>
  </sheets>
  <definedNames/>
  <calcPr/>
</workbook>
</file>

<file path=xl/sharedStrings.xml><?xml version="1.0" encoding="utf-8"?>
<sst xmlns="http://schemas.openxmlformats.org/spreadsheetml/2006/main" count="285" uniqueCount="199">
  <si>
    <t>Time [h]</t>
  </si>
  <si>
    <t>AC-5216-Peripheral Venous Blood-Plasma-Concentration [µmol/l]</t>
  </si>
  <si>
    <t>AC-5216-Arterial Blood-Plasma-Concentration [µmol/l]</t>
  </si>
  <si>
    <t>AC-5216-Brain-Tissue-Concentration [µmol/l]</t>
  </si>
  <si>
    <t>AC-5216-Liver-Tissue-Concentration [µmol/l]</t>
  </si>
  <si>
    <t>ligand_id</t>
  </si>
  <si>
    <t>smiles</t>
  </si>
  <si>
    <t>MW</t>
  </si>
  <si>
    <t>logD7_4</t>
  </si>
  <si>
    <t>TPSA</t>
  </si>
  <si>
    <t>HBD</t>
  </si>
  <si>
    <t>HBA</t>
  </si>
  <si>
    <t>RotB</t>
  </si>
  <si>
    <t>logS_ESOL_est</t>
  </si>
  <si>
    <t>efflux</t>
  </si>
  <si>
    <t>CNS_MPO</t>
  </si>
  <si>
    <t>dock_score</t>
  </si>
  <si>
    <t>fu</t>
  </si>
  <si>
    <t>CNS_gate_pass</t>
  </si>
  <si>
    <t>CL_plasma</t>
  </si>
  <si>
    <t>Vss_plasma</t>
  </si>
  <si>
    <t>t_half_plasma</t>
  </si>
  <si>
    <t>AUC_plasma_tEnd</t>
  </si>
  <si>
    <t>Cmax_plasma</t>
  </si>
  <si>
    <t>AUC_brain_tEnd</t>
  </si>
  <si>
    <t>Cmax_brain</t>
  </si>
  <si>
    <t>C_tEnd_brain</t>
  </si>
  <si>
    <t>Brain_30min</t>
  </si>
  <si>
    <t>Brain_60min</t>
  </si>
  <si>
    <t>Brain_90min</t>
  </si>
  <si>
    <t>Plasma_30min</t>
  </si>
  <si>
    <t>Plasma_60min</t>
  </si>
  <si>
    <t>Plasma_90min</t>
  </si>
  <si>
    <t>Brain_Plasma_30min</t>
  </si>
  <si>
    <t>Brain_Plasma_60min</t>
  </si>
  <si>
    <t>Brain_Plasma_90min</t>
  </si>
  <si>
    <t>Washout_30_to_90</t>
  </si>
  <si>
    <t>Washout_Plasma_30_to_90</t>
  </si>
  <si>
    <t>Kp_brain</t>
  </si>
  <si>
    <t>Final_Weighted_Score</t>
  </si>
  <si>
    <t>emap_Bn-4OCF3_Me</t>
  </si>
  <si>
    <t>CCN(Cc1ccc(OC(F)(F)F)cc1)C(=O)Cn1c(=O)n(C)c2cnc(-c3ccccc3)nc21</t>
  </si>
  <si>
    <t>PASS</t>
  </si>
  <si>
    <t>emap_Bn-4OCHF2_Me</t>
  </si>
  <si>
    <t>CCN(Cc1ccc(OC(F)F)cc1)C(=O)Cn1c(=O)n(C)c2cnc(-c3ccccc3)nc21</t>
  </si>
  <si>
    <t>emap2_Bn_CH2CF3</t>
  </si>
  <si>
    <t>CCN(Cc1ccccc1)C(=O)Cn1c(=O)n(CC(F)(F)F)c2cnc(-c3ccccc3)nc21</t>
  </si>
  <si>
    <t>emap2_Bn-4F_Me</t>
  </si>
  <si>
    <t>CCN(Cc1ccc(F)cc1)C(=O)Cn1c(=O)n(C)c2cnc(-c3ccccc3)nc21</t>
  </si>
  <si>
    <t>emap2_Bn-3,5diF_CH2CH2F</t>
  </si>
  <si>
    <t>CCN(Cc1ccc(F)cc1F)C(=O)Cn1c(=O)n(CCF)c2cnc(-c3ccccc3)nc21</t>
  </si>
  <si>
    <t>emap2_Bn-3,4diF_Me</t>
  </si>
  <si>
    <t>CCN(Cc1cc(F)ccc1F)C(=O)Cn1c(=O)n(C)c2cnc(-c3ccccc3)nc21</t>
  </si>
  <si>
    <t>emap2_Bn-3,4diF_CHF2</t>
  </si>
  <si>
    <t>CCN(Cc1cc(F)ccc1F)C(=O)Cn1c(=O)n(C(F)F)c2cnc(-c3ccccc3)nc21</t>
  </si>
  <si>
    <t>emap2_Bn-3,4diCl_Me</t>
  </si>
  <si>
    <t>CCN(Cc1cc(Cl)ccc1Cl)C(=O)Cn1c(=O)n(C)c2cnc(-c3ccccc3)nc21</t>
  </si>
  <si>
    <t>emap2_Bn-4OCF3_Me</t>
  </si>
  <si>
    <t>emap2_Bn-4OMe_CH2CF3</t>
  </si>
  <si>
    <t>CCN(Cc1ccc(OC)cc1)C(=O)Cn1c(=O)n(CC(F)(F)F)c2cnc(-c3ccccc3)nc21</t>
  </si>
  <si>
    <t>emap3_Bn_OCH2CF3</t>
  </si>
  <si>
    <t>CCN(Cc1ccccc1)C(=O)Cn2c3c(cnc(n3)c4ccccc4)n(c2=O)COC(F)(F)F</t>
  </si>
  <si>
    <t>emap3_Bn-3F_CH2CH2CF3</t>
  </si>
  <si>
    <t>CCN(Cc1cc(F)ccc1)C(=O)Cn2c3c(cnc(n3)c4ccccc4)n(c2=O)CC(F)(F)F</t>
  </si>
  <si>
    <t>emap3_Bn-3Cl_CH2F</t>
  </si>
  <si>
    <t>CCN(Cc1cc(Cl)ccc1)C(=O)Cn2c3c(cnc(n3)c4ccccc4)n(c2=O)CF</t>
  </si>
  <si>
    <t>emap3_Bn-3,5diF_nPr</t>
  </si>
  <si>
    <t>CCN(Cc1c(F)cc(F)cc1)C(=O)Cn2c3c(cnc(n3)c4ccccc4)n(c2=O)CCC</t>
  </si>
  <si>
    <t>emap3_Bn-3,4diCl_Me</t>
  </si>
  <si>
    <t>CCN(Cc1c(Cl)ccc(Cl)c1)C(=O)Cn2c3c(cnc(n3)c4ccccc4)n(c2=O)C</t>
  </si>
  <si>
    <t>emap3_Bn-3F_4OMe_CH2CHF2</t>
  </si>
  <si>
    <t>CCN(Cc1c(F)ccc(OC)c1)C(=O)Cn2c3c(cnc(n3)c4ccccc4)n(c2=O)C(F)F</t>
  </si>
  <si>
    <t>emap3_Bn-3CF3_4F_Me</t>
  </si>
  <si>
    <t>CCN(Cc1c(C(F)(F)F)ccc(F)c1)C(=O)Cn2c3c(cnc(n3)c4ccccc4)n(c2=O)C</t>
  </si>
  <si>
    <t>AC5216_ref</t>
  </si>
  <si>
    <t>CCN(CC1=CC=CC=C1)C(=O)CN2C3=NC(=NC=C3N(C2=O)C)C4=CC=CC=C4</t>
  </si>
  <si>
    <t>FAIL</t>
  </si>
  <si>
    <t>round</t>
  </si>
  <si>
    <t>affinity_kcal_per_mol</t>
  </si>
  <si>
    <t>ligand_pdbqt</t>
  </si>
  <si>
    <t>out_pdbqt</t>
  </si>
  <si>
    <t>log</t>
  </si>
  <si>
    <t>R1</t>
  </si>
  <si>
    <t>/Users/dhruv/Documents/Research/TBI-tracer/docking/emap_enum_round1/emap_Bn-4OCF3_Me.pdbqt</t>
  </si>
  <si>
    <t>/Users/dhruv/Documents/Research/TBI-tracer/docking/fine_all_rounds/out_pdbqt/emap_Bn-4OCF3_Me_out.pdbqt</t>
  </si>
  <si>
    <t>/Users/dhruv/Documents/Research/TBI-tracer/docking/fine_all_rounds/logs/emap_Bn-4OCF3_Me.log</t>
  </si>
  <si>
    <t>/Users/dhruv/Documents/Research/TBI-tracer/docking/emap_enum_round1/emap_Bn-4OCHF2_Me.pdbqt</t>
  </si>
  <si>
    <t>/Users/dhruv/Documents/Research/TBI-tracer/docking/fine_all_rounds/out_pdbqt/emap_Bn-4OCHF2_Me_out.pdbqt</t>
  </si>
  <si>
    <t>/Users/dhruv/Documents/Research/TBI-tracer/docking/fine_all_rounds/logs/emap_Bn-4OCHF2_Me.log</t>
  </si>
  <si>
    <t>R2</t>
  </si>
  <si>
    <t>/Users/dhruv/Documents/Research/TBI-tracer/docking/emap_enum_round2/emap2_Bn_CH2CF3.pdbqt</t>
  </si>
  <si>
    <t>/Users/dhruv/Documents/Research/TBI-tracer/docking/fine_all_rounds/out_pdbqt/emap2_Bn_CH2CF3_out.pdbqt</t>
  </si>
  <si>
    <t>/Users/dhruv/Documents/Research/TBI-tracer/docking/fine_all_rounds/logs/emap2_Bn_CH2CF3.log</t>
  </si>
  <si>
    <t>/Users/dhruv/Documents/Research/TBI-tracer/docking/emap_enum_round2/emap2_Bn-4F_Me.pdbqt</t>
  </si>
  <si>
    <t>/Users/dhruv/Documents/Research/TBI-tracer/docking/fine_all_rounds/out_pdbqt/emap2_Bn-4F_Me_out.pdbqt</t>
  </si>
  <si>
    <t>/Users/dhruv/Documents/Research/TBI-tracer/docking/fine_all_rounds/logs/emap2_Bn-4F_Me.log</t>
  </si>
  <si>
    <t>emap2_Bn-3</t>
  </si>
  <si>
    <t>5diF_CH2CH2F</t>
  </si>
  <si>
    <t>/Users/dhruv/Documents/Research/TBI-tracer/docking/emap_enum_round2/emap2_Bn-3</t>
  </si>
  <si>
    <t>5diF_CH2CH2F.pdbqt</t>
  </si>
  <si>
    <t>/Users/dhruv/Documents/Research/TBI-tracer/docking/fine_all_rounds/out_pdbqt/emap2_Bn-3</t>
  </si>
  <si>
    <t>5diF_CH2CH2F_out.pdbqt</t>
  </si>
  <si>
    <t>/Users/dhruv/Documents/Research/TBI-tracer/docking/fine_all_rounds/logs/emap2_Bn-3</t>
  </si>
  <si>
    <t>5diF_CH2CH2F.log</t>
  </si>
  <si>
    <t>4diF_Me</t>
  </si>
  <si>
    <t>4diF_Me.pdbqt</t>
  </si>
  <si>
    <t>4diF_Me_out.pdbqt</t>
  </si>
  <si>
    <t>4diF_Me.log</t>
  </si>
  <si>
    <t>4diF_CHF2</t>
  </si>
  <si>
    <t>4diF_CHF2.pdbqt</t>
  </si>
  <si>
    <t>4diF_CHF2_out.pdbqt</t>
  </si>
  <si>
    <t>4diF_CHF2.log</t>
  </si>
  <si>
    <t>4diCl_Me</t>
  </si>
  <si>
    <t>4diCl_Me.pdbqt</t>
  </si>
  <si>
    <t>4diCl_Me_out.pdbqt</t>
  </si>
  <si>
    <t>4diCl_Me.log</t>
  </si>
  <si>
    <t>/Users/dhruv/Documents/Research/TBI-tracer/docking/emap_enum_round2/emap2_Bn-4OCF3_Me.pdbqt</t>
  </si>
  <si>
    <t>/Users/dhruv/Documents/Research/TBI-tracer/docking/fine_all_rounds/out_pdbqt/emap2_Bn-4OCF3_Me_out.pdbqt</t>
  </si>
  <si>
    <t>/Users/dhruv/Documents/Research/TBI-tracer/docking/fine_all_rounds/logs/emap2_Bn-4OCF3_Me.log</t>
  </si>
  <si>
    <t>/Users/dhruv/Documents/Research/TBI-tracer/docking/emap_enum_round2/emap2_Bn-4OMe_CH2CF3.pdbqt</t>
  </si>
  <si>
    <t>/Users/dhruv/Documents/Research/TBI-tracer/docking/fine_all_rounds/out_pdbqt/emap2_Bn-4OMe_CH2CF3_out.pdbqt</t>
  </si>
  <si>
    <t>/Users/dhruv/Documents/Research/TBI-tracer/docking/fine_all_rounds/logs/emap2_Bn-4OMe_CH2CF3.log</t>
  </si>
  <si>
    <t>R3</t>
  </si>
  <si>
    <t>/Users/dhruv/Documents/Research/TBI-tracer/docking/emap_enum_round3/pdbqt_clean/emap3_Bn_OCH2CF3.pdbqt</t>
  </si>
  <si>
    <t>/Users/dhruv/Documents/Research/TBI-tracer/docking/fine_all_rounds/out_pdbqt/emap3_Bn_OCH2CF3_out.pdbqt</t>
  </si>
  <si>
    <t>/Users/dhruv/Documents/Research/TBI-tracer/docking/fine_all_rounds/logs/emap3_Bn_OCH2CF3.log</t>
  </si>
  <si>
    <t>/Users/dhruv/Documents/Research/TBI-tracer/docking/emap_enum_round3/pdbqt_clean/emap3_Bn-3F_CH2CH2CF3.pdbqt</t>
  </si>
  <si>
    <t>/Users/dhruv/Documents/Research/TBI-tracer/docking/fine_all_rounds/out_pdbqt/emap3_Bn-3F_CH2CH2CF3_out.pdbqt</t>
  </si>
  <si>
    <t>/Users/dhruv/Documents/Research/TBI-tracer/docking/fine_all_rounds/logs/emap3_Bn-3F_CH2CH2CF3.log</t>
  </si>
  <si>
    <t>/Users/dhruv/Documents/Research/TBI-tracer/docking/emap_enum_round3/pdbqt_clean/emap3_Bn-3Cl_CH2F.pdbqt</t>
  </si>
  <si>
    <t>/Users/dhruv/Documents/Research/TBI-tracer/docking/fine_all_rounds/out_pdbqt/emap3_Bn-3Cl_CH2F_out.pdbqt</t>
  </si>
  <si>
    <t>/Users/dhruv/Documents/Research/TBI-tracer/docking/fine_all_rounds/logs/emap3_Bn-3Cl_CH2F.log</t>
  </si>
  <si>
    <t>emap3_Bn-3</t>
  </si>
  <si>
    <t>5diF_nPr</t>
  </si>
  <si>
    <t>/Users/dhruv/Documents/Research/TBI-tracer/docking/emap_enum_round3/pdbqt_clean/emap3_Bn-3_5diF_nPr.pdbqt</t>
  </si>
  <si>
    <t>/Users/dhruv/Documents/Research/TBI-tracer/docking/fine_all_rounds/out_pdbqt/emap3_Bn-3</t>
  </si>
  <si>
    <t>5diF_nPr_out.pdbqt</t>
  </si>
  <si>
    <t>/Users/dhruv/Documents/Research/TBI-tracer/docking/fine_all_rounds/logs/emap3_Bn-3</t>
  </si>
  <si>
    <t>5diF_nPr.log</t>
  </si>
  <si>
    <t>5diF_CH2CH2CF2CH3</t>
  </si>
  <si>
    <t>/Users/dhruv/Documents/Research/TBI-tracer/docking/emap_enum_round3/pdbqt_clean/emap3_Bn-3_5diF_CH2CH2CF2CH3.pdbqt</t>
  </si>
  <si>
    <t>5diF_CH2CH2CF2CH3_out.pdbqt</t>
  </si>
  <si>
    <t>5diF_CH2CH2CF2CH3.log</t>
  </si>
  <si>
    <t>4diF_OCH2CF2CH3</t>
  </si>
  <si>
    <t>/Users/dhruv/Documents/Research/TBI-tracer/docking/emap_enum_round3/pdbqt_clean/emap3_Bn-3_4diF_OCH2CF2CH3.pdbqt</t>
  </si>
  <si>
    <t>4diF_OCH2CF2CH3_out.pdbqt</t>
  </si>
  <si>
    <t>4diF_OCH2CF2CH3.log</t>
  </si>
  <si>
    <t>emap3_Bn-2</t>
  </si>
  <si>
    <t>6diF_CH2CH2CHF2</t>
  </si>
  <si>
    <t>/Users/dhruv/Documents/Research/TBI-tracer/docking/emap_enum_round3/pdbqt_clean/emap3_Bn-2_6diF_CH2CH2CHF2.pdbqt</t>
  </si>
  <si>
    <t>/Users/dhruv/Documents/Research/TBI-tracer/docking/fine_all_rounds/out_pdbqt/emap3_Bn-2</t>
  </si>
  <si>
    <t>6diF_CH2CH2CHF2_out.pdbqt</t>
  </si>
  <si>
    <t>/Users/dhruv/Documents/Research/TBI-tracer/docking/fine_all_rounds/logs/emap3_Bn-2</t>
  </si>
  <si>
    <t>6diF_CH2CH2CHF2.log</t>
  </si>
  <si>
    <t>6diF_CH2CH2CF2H</t>
  </si>
  <si>
    <t>/Users/dhruv/Documents/Research/TBI-tracer/docking/emap_enum_round3/pdbqt_clean/emap3_Bn-2_6diF_CH2CH2CF2H.pdbqt</t>
  </si>
  <si>
    <t>6diF_CH2CH2CF2H_out.pdbqt</t>
  </si>
  <si>
    <t>6diF_CH2CH2CF2H.log</t>
  </si>
  <si>
    <t>6diF_CH2CH2CF2CH3</t>
  </si>
  <si>
    <t>/Users/dhruv/Documents/Research/TBI-tracer/docking/emap_enum_round3/pdbqt_clean/emap3_Bn-2_6diF_CH2CH2CF2CH3.pdbqt</t>
  </si>
  <si>
    <t>6diF_CH2CH2CF2CH3_out.pdbqt</t>
  </si>
  <si>
    <t>6diF_CH2CH2CF2CH3.log</t>
  </si>
  <si>
    <t>/Users/dhruv/Documents/Research/TBI-tracer/docking/emap_enum_round3/pdbqt_clean/emap3_Bn-3_4diCl_Me.pdbqt</t>
  </si>
  <si>
    <t>/Users/dhruv/Documents/Research/TBI-tracer/docking/emap_enum_round3/pdbqt_clean/emap3_Bn-3F_4OMe_CH2CHF2.pdbqt</t>
  </si>
  <si>
    <t>/Users/dhruv/Documents/Research/TBI-tracer/docking/fine_all_rounds/out_pdbqt/emap3_Bn-3F_4OMe_CH2CHF2_out.pdbqt</t>
  </si>
  <si>
    <t>/Users/dhruv/Documents/Research/TBI-tracer/docking/fine_all_rounds/logs/emap3_Bn-3F_4OMe_CH2CHF2.log</t>
  </si>
  <si>
    <t>/Users/dhruv/Documents/Research/TBI-tracer/docking/emap_enum_round3/pdbqt_clean/emap3_Bn-3CF3_4F_Me.pdbqt</t>
  </si>
  <si>
    <t>/Users/dhruv/Documents/Research/TBI-tracer/docking/fine_all_rounds/out_pdbqt/emap3_Bn-3CF3_4F_Me_out.pdbqt</t>
  </si>
  <si>
    <t>/Users/dhruv/Documents/Research/TBI-tracer/docking/fine_all_rounds/logs/emap3_Bn-3CF3_4F_Me.log</t>
  </si>
  <si>
    <t>Parameter</t>
  </si>
  <si>
    <t>AC-5216 - AC-5216-Arterial Blood-Plasma-Concentration</t>
  </si>
  <si>
    <t>AC-5216 - AC-5216-Brain-Tissue-Concentration</t>
  </si>
  <si>
    <t>AC-5216 - AC-5216-Liver-Tissue-Concentration</t>
  </si>
  <si>
    <t>AC-5216 - AC-5216-Peripheral Venous Blood-Plasma-Concentration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</si>
  <si>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</si>
  <si>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</si>
  <si>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</si>
  <si>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</si>
  <si>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</si>
  <si>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</si>
  <si>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</si>
  <si>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</si>
  <si>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</si>
  <si>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/>
  </si>
  <si>
    <t>MRT [h]</t>
  </si>
  <si>
    <t>t_max [h]</t>
  </si>
  <si>
    <t>Half-Life [h]</t>
  </si>
  <si>
    <t>Vd (plasma)/F [ml/kg]</t>
  </si>
  <si>
    <t>Vss (plasma)/F [ml/kg]</t>
  </si>
  <si>
    <t>Compound</t>
  </si>
  <si>
    <t>Value</t>
  </si>
  <si>
    <t>Unit</t>
  </si>
  <si>
    <t>Vss (plasma)</t>
  </si>
  <si>
    <t>AC-5216</t>
  </si>
  <si>
    <t>ml/kg</t>
  </si>
  <si>
    <t>Vd (plasma)</t>
  </si>
  <si>
    <t>Total plasma clearance</t>
  </si>
  <si>
    <t>ml/min/kg</t>
  </si>
  <si>
    <t>Vss (phys-chem)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</si>
</sst>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4.43"/>
    <col customWidth="1" min="3" max="3" width="53.57"/>
    <col customWidth="1" min="4" max="4" width="44.57"/>
    <col customWidth="1" min="5" max="5" width="44.14"/>
    <col customWidth="1" min="6" max="26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</row>
    <row r="3">
      <c r="A3" s="1">
        <v>0.05</v>
      </c>
      <c r="B3" s="1">
        <v>0.002686054</v>
      </c>
      <c r="C3" s="1">
        <v>0.002628268</v>
      </c>
      <c r="D3" s="1">
        <v>5.37199E-6</v>
      </c>
      <c r="E3" s="1">
        <v>0.001506142</v>
      </c>
    </row>
    <row r="4">
      <c r="A4" s="1">
        <v>0.1</v>
      </c>
      <c r="B4" s="1">
        <v>0.002417216</v>
      </c>
      <c r="C4" s="1">
        <v>0.002295723</v>
      </c>
      <c r="D4" s="1">
        <v>4.449425E-6</v>
      </c>
      <c r="E4" s="1">
        <v>0.001334763</v>
      </c>
    </row>
    <row r="5">
      <c r="A5" s="1">
        <v>0.15</v>
      </c>
      <c r="B5" s="1">
        <v>0.002135667</v>
      </c>
      <c r="C5" s="1">
        <v>0.001971222</v>
      </c>
      <c r="D5" s="1">
        <v>4.042685E-6</v>
      </c>
      <c r="E5" s="1">
        <v>0.001102419</v>
      </c>
    </row>
    <row r="6">
      <c r="A6" s="1">
        <v>0.2</v>
      </c>
      <c r="B6" s="1">
        <v>0.001883776</v>
      </c>
      <c r="C6" s="1">
        <v>0.001724998</v>
      </c>
      <c r="D6" s="1">
        <v>3.782061E-6</v>
      </c>
      <c r="E6" s="1">
        <v>9.417484E-4</v>
      </c>
    </row>
    <row r="7">
      <c r="A7" s="1">
        <v>0.25</v>
      </c>
      <c r="B7" s="1">
        <v>0.001677098</v>
      </c>
      <c r="C7" s="1">
        <v>0.001534811</v>
      </c>
      <c r="D7" s="1">
        <v>3.607606E-6</v>
      </c>
      <c r="E7" s="1">
        <v>8.225402E-4</v>
      </c>
    </row>
    <row r="8">
      <c r="A8" s="1">
        <v>0.3</v>
      </c>
      <c r="B8" s="1">
        <v>0.001510802</v>
      </c>
      <c r="C8" s="1">
        <v>0.001385067</v>
      </c>
      <c r="D8" s="1">
        <v>3.490345E-6</v>
      </c>
      <c r="E8" s="1">
        <v>7.308649E-4</v>
      </c>
    </row>
    <row r="9">
      <c r="A9" s="1">
        <v>0.35</v>
      </c>
      <c r="B9" s="1">
        <v>0.001376683</v>
      </c>
      <c r="C9" s="1">
        <v>0.001265254</v>
      </c>
      <c r="D9" s="1">
        <v>3.413279E-6</v>
      </c>
      <c r="E9" s="1">
        <v>6.588522E-4</v>
      </c>
    </row>
    <row r="10">
      <c r="A10" s="1">
        <v>0.4</v>
      </c>
      <c r="B10" s="1">
        <v>0.00126736</v>
      </c>
      <c r="C10" s="1">
        <v>0.001167897</v>
      </c>
      <c r="D10" s="1">
        <v>3.365188E-6</v>
      </c>
      <c r="E10" s="1">
        <v>6.013403E-4</v>
      </c>
    </row>
    <row r="11">
      <c r="A11" s="1">
        <v>0.45</v>
      </c>
      <c r="B11" s="1">
        <v>0.001177026</v>
      </c>
      <c r="C11" s="1">
        <v>0.001087549</v>
      </c>
      <c r="D11" s="1">
        <v>3.338204E-6</v>
      </c>
      <c r="E11" s="1">
        <v>5.546783E-4</v>
      </c>
    </row>
    <row r="12">
      <c r="A12" s="1">
        <v>0.5</v>
      </c>
      <c r="B12" s="1">
        <v>0.001101274</v>
      </c>
      <c r="C12" s="1">
        <v>0.001020203</v>
      </c>
      <c r="D12" s="1">
        <v>3.326645E-6</v>
      </c>
      <c r="E12" s="1">
        <v>5.162193E-4</v>
      </c>
    </row>
    <row r="13">
      <c r="A13" s="1">
        <v>0.55</v>
      </c>
      <c r="B13" s="1">
        <v>0.001036806</v>
      </c>
      <c r="C13" s="1">
        <v>9.629031E-4</v>
      </c>
      <c r="D13" s="1">
        <v>3.3264E-6</v>
      </c>
      <c r="E13" s="1">
        <v>4.840276E-4</v>
      </c>
    </row>
    <row r="14">
      <c r="A14" s="1">
        <v>0.6</v>
      </c>
      <c r="B14" s="1">
        <v>9.811745E-4</v>
      </c>
      <c r="C14" s="1">
        <v>9.134666E-4</v>
      </c>
      <c r="D14" s="1">
        <v>3.334481E-6</v>
      </c>
      <c r="E14" s="1">
        <v>4.566807E-4</v>
      </c>
    </row>
    <row r="15">
      <c r="A15" s="1">
        <v>0.65</v>
      </c>
      <c r="B15" s="1">
        <v>9.32538E-4</v>
      </c>
      <c r="C15" s="1">
        <v>8.702492E-4</v>
      </c>
      <c r="D15" s="1">
        <v>3.348676E-6</v>
      </c>
      <c r="E15" s="1">
        <v>4.331121E-4</v>
      </c>
    </row>
    <row r="16">
      <c r="A16" s="1">
        <v>0.7</v>
      </c>
      <c r="B16" s="1">
        <v>8.895101E-4</v>
      </c>
      <c r="C16" s="1">
        <v>8.320159E-4</v>
      </c>
      <c r="D16" s="1">
        <v>3.367366E-6</v>
      </c>
      <c r="E16" s="1">
        <v>4.125262E-4</v>
      </c>
    </row>
    <row r="17">
      <c r="A17" s="1">
        <v>0.75</v>
      </c>
      <c r="B17" s="1">
        <v>8.510523E-4</v>
      </c>
      <c r="C17" s="1">
        <v>7.978432E-4</v>
      </c>
      <c r="D17" s="1">
        <v>3.389373E-6</v>
      </c>
      <c r="E17" s="1">
        <v>3.943325E-4</v>
      </c>
    </row>
    <row r="18">
      <c r="A18" s="1">
        <v>0.8</v>
      </c>
      <c r="B18" s="1">
        <v>8.163777E-4</v>
      </c>
      <c r="C18" s="1">
        <v>7.670298E-4</v>
      </c>
      <c r="D18" s="1">
        <v>3.413835E-6</v>
      </c>
      <c r="E18" s="1">
        <v>3.780863E-4</v>
      </c>
    </row>
    <row r="19">
      <c r="A19" s="1">
        <v>0.85</v>
      </c>
      <c r="B19" s="1">
        <v>7.848782E-4</v>
      </c>
      <c r="C19" s="1">
        <v>7.390339E-4</v>
      </c>
      <c r="D19" s="1">
        <v>3.440112E-6</v>
      </c>
      <c r="E19" s="1">
        <v>3.634465E-4</v>
      </c>
    </row>
    <row r="20">
      <c r="A20" s="1">
        <v>0.9</v>
      </c>
      <c r="B20" s="1">
        <v>7.560793E-4</v>
      </c>
      <c r="C20" s="1">
        <v>7.134331E-4</v>
      </c>
      <c r="D20" s="1">
        <v>3.467728E-6</v>
      </c>
      <c r="E20" s="1">
        <v>3.501505E-4</v>
      </c>
    </row>
    <row r="21" ht="15.75" customHeight="1">
      <c r="A21" s="1">
        <v>0.95</v>
      </c>
      <c r="B21" s="1">
        <v>7.296105E-4</v>
      </c>
      <c r="C21" s="1">
        <v>6.898983E-4</v>
      </c>
      <c r="D21" s="1">
        <v>3.496338E-6</v>
      </c>
      <c r="E21" s="1">
        <v>3.379965E-4</v>
      </c>
    </row>
    <row r="22" ht="15.75" customHeight="1">
      <c r="A22" s="1">
        <v>1.0</v>
      </c>
      <c r="B22" s="1">
        <v>7.051805E-4</v>
      </c>
      <c r="C22" s="1">
        <v>6.681703E-4</v>
      </c>
      <c r="D22" s="1">
        <v>3.525686E-6</v>
      </c>
      <c r="E22" s="1">
        <v>3.268277E-4</v>
      </c>
    </row>
    <row r="23" ht="15.75" customHeight="1">
      <c r="A23" s="1">
        <v>1.05</v>
      </c>
      <c r="B23" s="1">
        <v>6.825553E-4</v>
      </c>
      <c r="C23" s="1">
        <v>6.480412E-4</v>
      </c>
      <c r="D23" s="1">
        <v>3.555587E-6</v>
      </c>
      <c r="E23" s="1">
        <v>3.165198E-4</v>
      </c>
    </row>
    <row r="24" ht="15.75" customHeight="1">
      <c r="A24" s="1">
        <v>1.1</v>
      </c>
      <c r="B24" s="1">
        <v>6.615425E-4</v>
      </c>
      <c r="C24" s="1">
        <v>6.293397E-4</v>
      </c>
      <c r="D24" s="1">
        <v>3.585898E-6</v>
      </c>
      <c r="E24" s="1">
        <v>3.069726E-4</v>
      </c>
    </row>
    <row r="25" ht="15.75" customHeight="1">
      <c r="A25" s="1">
        <v>1.15</v>
      </c>
      <c r="B25" s="1">
        <v>6.419814E-4</v>
      </c>
      <c r="C25" s="1">
        <v>6.119235E-4</v>
      </c>
      <c r="D25" s="1">
        <v>3.616515E-6</v>
      </c>
      <c r="E25" s="1">
        <v>2.981037E-4</v>
      </c>
    </row>
    <row r="26" ht="15.75" customHeight="1">
      <c r="A26" s="1">
        <v>1.2</v>
      </c>
      <c r="B26" s="1">
        <v>6.23737E-4</v>
      </c>
      <c r="C26" s="1">
        <v>5.956729E-4</v>
      </c>
      <c r="D26" s="1">
        <v>3.647357E-6</v>
      </c>
      <c r="E26" s="1">
        <v>2.89845E-4</v>
      </c>
    </row>
    <row r="27" ht="15.75" customHeight="1">
      <c r="A27" s="1">
        <v>1.25</v>
      </c>
      <c r="B27" s="1">
        <v>6.066947E-4</v>
      </c>
      <c r="C27" s="1">
        <v>5.804863E-4</v>
      </c>
      <c r="D27" s="1">
        <v>3.678368E-6</v>
      </c>
      <c r="E27" s="1">
        <v>2.821398E-4</v>
      </c>
    </row>
    <row r="28" ht="15.75" customHeight="1">
      <c r="A28" s="1">
        <v>1.3</v>
      </c>
      <c r="B28" s="1">
        <v>5.907555E-4</v>
      </c>
      <c r="C28" s="1">
        <v>5.662758E-4</v>
      </c>
      <c r="D28" s="1">
        <v>3.709501E-6</v>
      </c>
      <c r="E28" s="1">
        <v>2.749397E-4</v>
      </c>
    </row>
    <row r="29" ht="15.75" customHeight="1">
      <c r="A29" s="1">
        <v>1.35</v>
      </c>
      <c r="B29" s="1">
        <v>5.758334E-4</v>
      </c>
      <c r="C29" s="1">
        <v>5.529656E-4</v>
      </c>
      <c r="D29" s="1">
        <v>3.740725E-6</v>
      </c>
      <c r="E29" s="1">
        <v>2.682034E-4</v>
      </c>
    </row>
    <row r="30" ht="15.75" customHeight="1">
      <c r="A30" s="1">
        <v>1.4</v>
      </c>
      <c r="B30" s="1">
        <v>5.618504E-4</v>
      </c>
      <c r="C30" s="1">
        <v>5.404863E-4</v>
      </c>
      <c r="D30" s="1">
        <v>3.772012E-6</v>
      </c>
      <c r="E30" s="1">
        <v>2.618937E-4</v>
      </c>
    </row>
    <row r="31" ht="15.75" customHeight="1">
      <c r="A31" s="1">
        <v>1.45</v>
      </c>
      <c r="B31" s="1">
        <v>5.487389E-4</v>
      </c>
      <c r="C31" s="1">
        <v>5.287784E-4</v>
      </c>
      <c r="D31" s="1">
        <v>3.803343E-6</v>
      </c>
      <c r="E31" s="1">
        <v>2.559789E-4</v>
      </c>
    </row>
    <row r="32" ht="15.75" customHeight="1">
      <c r="A32" s="1">
        <v>1.5</v>
      </c>
      <c r="B32" s="1">
        <v>5.364337E-4</v>
      </c>
      <c r="C32" s="1">
        <v>5.177839E-4</v>
      </c>
      <c r="D32" s="1">
        <v>3.834698E-6</v>
      </c>
      <c r="E32" s="1">
        <v>2.504283E-4</v>
      </c>
    </row>
    <row r="33" ht="15.75" customHeight="1">
      <c r="A33" s="1">
        <v>1.55</v>
      </c>
      <c r="B33" s="1">
        <v>5.248795E-4</v>
      </c>
      <c r="C33" s="1">
        <v>5.074544E-4</v>
      </c>
      <c r="D33" s="1">
        <v>3.866068E-6</v>
      </c>
      <c r="E33" s="1">
        <v>2.452166E-4</v>
      </c>
    </row>
    <row r="34" ht="15.75" customHeight="1">
      <c r="A34" s="1">
        <v>1.6</v>
      </c>
      <c r="B34" s="1">
        <v>5.140228E-4</v>
      </c>
      <c r="C34" s="1">
        <v>4.977421E-4</v>
      </c>
      <c r="D34" s="1">
        <v>3.897437E-6</v>
      </c>
      <c r="E34" s="1">
        <v>2.403187E-4</v>
      </c>
    </row>
    <row r="35" ht="15.75" customHeight="1">
      <c r="A35" s="1">
        <v>1.65</v>
      </c>
      <c r="B35" s="1">
        <v>5.038174E-4</v>
      </c>
      <c r="C35" s="1">
        <v>4.886065E-4</v>
      </c>
      <c r="D35" s="1">
        <v>3.9288E-6</v>
      </c>
      <c r="E35" s="1">
        <v>2.357139E-4</v>
      </c>
    </row>
    <row r="36" ht="15.75" customHeight="1">
      <c r="A36" s="1">
        <v>1.7</v>
      </c>
      <c r="B36" s="1">
        <v>4.942198E-4</v>
      </c>
      <c r="C36" s="1">
        <v>4.80009E-4</v>
      </c>
      <c r="D36" s="1">
        <v>3.96015E-6</v>
      </c>
      <c r="E36" s="1">
        <v>2.313821E-4</v>
      </c>
    </row>
    <row r="37" ht="15.75" customHeight="1">
      <c r="A37" s="1">
        <v>1.75</v>
      </c>
      <c r="B37" s="1">
        <v>4.851906E-4</v>
      </c>
      <c r="C37" s="1">
        <v>4.719149E-4</v>
      </c>
      <c r="D37" s="1">
        <v>3.991483E-6</v>
      </c>
      <c r="E37" s="1">
        <v>2.27306E-4</v>
      </c>
    </row>
    <row r="38" ht="15.75" customHeight="1">
      <c r="A38" s="1">
        <v>1.8</v>
      </c>
      <c r="B38" s="1">
        <v>4.76693E-4</v>
      </c>
      <c r="C38" s="1">
        <v>4.642917E-4</v>
      </c>
      <c r="D38" s="1">
        <v>4.022793E-6</v>
      </c>
      <c r="E38" s="1">
        <v>2.234686E-4</v>
      </c>
    </row>
    <row r="39" ht="15.75" customHeight="1">
      <c r="A39" s="1">
        <v>1.85</v>
      </c>
      <c r="B39" s="1">
        <v>4.686926E-4</v>
      </c>
      <c r="C39" s="1">
        <v>4.571088E-4</v>
      </c>
      <c r="D39" s="1">
        <v>4.054078E-6</v>
      </c>
      <c r="E39" s="1">
        <v>2.198547E-4</v>
      </c>
    </row>
    <row r="40" ht="15.75" customHeight="1">
      <c r="A40" s="1">
        <v>1.9</v>
      </c>
      <c r="B40" s="1">
        <v>4.611573E-4</v>
      </c>
      <c r="C40" s="1">
        <v>4.503381E-4</v>
      </c>
      <c r="D40" s="1">
        <v>4.085334E-6</v>
      </c>
      <c r="E40" s="1">
        <v>2.164496E-4</v>
      </c>
    </row>
    <row r="41" ht="15.75" customHeight="1">
      <c r="A41" s="1">
        <v>1.95</v>
      </c>
      <c r="B41" s="1">
        <v>4.540567E-4</v>
      </c>
      <c r="C41" s="1">
        <v>4.439526E-4</v>
      </c>
      <c r="D41" s="1">
        <v>4.116557E-6</v>
      </c>
      <c r="E41" s="1">
        <v>2.132398E-4</v>
      </c>
    </row>
    <row r="42" ht="15.75" customHeight="1">
      <c r="A42" s="1">
        <v>2.0</v>
      </c>
      <c r="B42" s="1">
        <v>4.473641E-4</v>
      </c>
      <c r="C42" s="1">
        <v>4.379287E-4</v>
      </c>
      <c r="D42" s="1">
        <v>4.147746E-6</v>
      </c>
      <c r="E42" s="1">
        <v>2.102133E-4</v>
      </c>
    </row>
    <row r="43" ht="15.75" customHeight="1">
      <c r="A43" s="1">
        <v>2.25</v>
      </c>
      <c r="B43" s="1">
        <v>4.191463E-4</v>
      </c>
      <c r="C43" s="1">
        <v>4.124606E-4</v>
      </c>
      <c r="D43" s="1">
        <v>4.303077E-6</v>
      </c>
      <c r="E43" s="1">
        <v>1.97435E-4</v>
      </c>
    </row>
    <row r="44" ht="15.75" customHeight="1">
      <c r="A44" s="1">
        <v>2.5</v>
      </c>
      <c r="B44" s="1">
        <v>3.978372E-4</v>
      </c>
      <c r="C44" s="1">
        <v>3.931246E-4</v>
      </c>
      <c r="D44" s="1">
        <v>4.457245E-6</v>
      </c>
      <c r="E44" s="1">
        <v>1.877579E-4</v>
      </c>
    </row>
    <row r="45" ht="15.75" customHeight="1">
      <c r="A45" s="1">
        <v>2.75</v>
      </c>
      <c r="B45" s="1">
        <v>3.815338E-4</v>
      </c>
      <c r="C45" s="1">
        <v>3.782384E-4</v>
      </c>
      <c r="D45" s="1">
        <v>4.610147E-6</v>
      </c>
      <c r="E45" s="1">
        <v>1.803307E-4</v>
      </c>
    </row>
    <row r="46" ht="15.75" customHeight="1">
      <c r="A46" s="1">
        <v>3.0</v>
      </c>
      <c r="B46" s="1">
        <v>3.688736E-4</v>
      </c>
      <c r="C46" s="1">
        <v>3.66597E-4</v>
      </c>
      <c r="D46" s="1">
        <v>4.761731E-6</v>
      </c>
      <c r="E46" s="1">
        <v>1.745431E-4</v>
      </c>
    </row>
    <row r="47" ht="15.75" customHeight="1">
      <c r="A47" s="1">
        <v>3.25</v>
      </c>
      <c r="B47" s="1">
        <v>3.588712E-4</v>
      </c>
      <c r="C47" s="1">
        <v>3.573288E-4</v>
      </c>
      <c r="D47" s="1">
        <v>4.911974E-6</v>
      </c>
      <c r="E47" s="1">
        <v>1.699525E-4</v>
      </c>
    </row>
    <row r="48" ht="15.75" customHeight="1">
      <c r="A48" s="1">
        <v>3.5</v>
      </c>
      <c r="B48" s="1">
        <v>3.508159E-4</v>
      </c>
      <c r="C48" s="1">
        <v>3.498043E-4</v>
      </c>
      <c r="D48" s="1">
        <v>5.060878E-6</v>
      </c>
      <c r="E48" s="1">
        <v>1.662398E-4</v>
      </c>
    </row>
    <row r="49" ht="15.75" customHeight="1">
      <c r="A49" s="1">
        <v>3.75</v>
      </c>
      <c r="B49" s="1">
        <v>3.442041E-4</v>
      </c>
      <c r="C49" s="1">
        <v>3.435775E-4</v>
      </c>
      <c r="D49" s="1">
        <v>5.208476E-6</v>
      </c>
      <c r="E49" s="1">
        <v>1.631796E-4</v>
      </c>
    </row>
    <row r="50" ht="15.75" customHeight="1">
      <c r="A50" s="1">
        <v>4.0</v>
      </c>
      <c r="B50" s="1">
        <v>3.386754E-4</v>
      </c>
      <c r="C50" s="1">
        <v>3.383287E-4</v>
      </c>
      <c r="D50" s="1">
        <v>5.354808E-6</v>
      </c>
      <c r="E50" s="1">
        <v>1.606104E-4</v>
      </c>
    </row>
    <row r="51" ht="15.75" customHeight="1">
      <c r="A51" s="1">
        <v>4.25</v>
      </c>
      <c r="B51" s="1">
        <v>3.339654E-4</v>
      </c>
      <c r="C51" s="1">
        <v>3.338234E-4</v>
      </c>
      <c r="D51" s="1">
        <v>5.499915E-6</v>
      </c>
      <c r="E51" s="1">
        <v>1.58413E-4</v>
      </c>
    </row>
    <row r="52" ht="15.75" customHeight="1">
      <c r="A52" s="1">
        <v>4.5</v>
      </c>
      <c r="B52" s="1">
        <v>3.298826E-4</v>
      </c>
      <c r="C52" s="1">
        <v>3.298909E-4</v>
      </c>
      <c r="D52" s="1">
        <v>5.643845E-6</v>
      </c>
      <c r="E52" s="1">
        <v>1.565012E-4</v>
      </c>
    </row>
    <row r="53" ht="15.75" customHeight="1">
      <c r="A53" s="1">
        <v>4.75</v>
      </c>
      <c r="B53" s="1">
        <v>3.262888E-4</v>
      </c>
      <c r="C53" s="1">
        <v>3.264083E-4</v>
      </c>
      <c r="D53" s="1">
        <v>5.786649E-6</v>
      </c>
      <c r="E53" s="1">
        <v>1.548131E-4</v>
      </c>
    </row>
    <row r="54" ht="15.75" customHeight="1">
      <c r="A54" s="1">
        <v>5.0</v>
      </c>
      <c r="B54" s="1">
        <v>3.230832E-4</v>
      </c>
      <c r="C54" s="1">
        <v>3.232854E-4</v>
      </c>
      <c r="D54" s="1">
        <v>5.928378E-6</v>
      </c>
      <c r="E54" s="1">
        <v>1.533031E-4</v>
      </c>
    </row>
    <row r="55" ht="15.75" customHeight="1">
      <c r="A55" s="1">
        <v>5.25</v>
      </c>
      <c r="B55" s="1">
        <v>3.201914E-4</v>
      </c>
      <c r="C55" s="1">
        <v>3.204557E-4</v>
      </c>
      <c r="D55" s="1">
        <v>6.069082E-6</v>
      </c>
      <c r="E55" s="1">
        <v>1.519377E-4</v>
      </c>
    </row>
    <row r="56" ht="15.75" customHeight="1">
      <c r="A56" s="1">
        <v>5.5</v>
      </c>
      <c r="B56" s="1">
        <v>3.175584E-4</v>
      </c>
      <c r="C56" s="1">
        <v>3.178696E-4</v>
      </c>
      <c r="D56" s="1">
        <v>6.20881E-6</v>
      </c>
      <c r="E56" s="1">
        <v>1.506921E-4</v>
      </c>
    </row>
    <row r="57" ht="15.75" customHeight="1">
      <c r="A57" s="1">
        <v>5.75</v>
      </c>
      <c r="B57" s="1">
        <v>3.1514E-4</v>
      </c>
      <c r="C57" s="1">
        <v>3.154873E-4</v>
      </c>
      <c r="D57" s="1">
        <v>6.347608E-6</v>
      </c>
      <c r="E57" s="1">
        <v>1.495459E-4</v>
      </c>
    </row>
    <row r="58" ht="15.75" customHeight="1">
      <c r="A58" s="1">
        <v>6.0</v>
      </c>
      <c r="B58" s="1">
        <v>3.129052E-4</v>
      </c>
      <c r="C58" s="1">
        <v>3.132804E-4</v>
      </c>
      <c r="D58" s="1">
        <v>6.485522E-6</v>
      </c>
      <c r="E58" s="1">
        <v>1.484853E-4</v>
      </c>
    </row>
    <row r="59" ht="15.75" customHeight="1">
      <c r="A59" s="1">
        <v>6.25</v>
      </c>
      <c r="B59" s="1">
        <v>3.108299E-4</v>
      </c>
      <c r="C59" s="1">
        <v>3.112271E-4</v>
      </c>
      <c r="D59" s="1">
        <v>6.622596E-6</v>
      </c>
      <c r="E59" s="1">
        <v>1.474992E-4</v>
      </c>
    </row>
    <row r="60" ht="15.75" customHeight="1">
      <c r="A60" s="1">
        <v>6.5</v>
      </c>
      <c r="B60" s="1">
        <v>3.088949E-4</v>
      </c>
      <c r="C60" s="1">
        <v>3.093097E-4</v>
      </c>
      <c r="D60" s="1">
        <v>6.758872E-6</v>
      </c>
      <c r="E60" s="1">
        <v>1.46579E-4</v>
      </c>
    </row>
    <row r="61" ht="15.75" customHeight="1">
      <c r="A61" s="1">
        <v>6.75</v>
      </c>
      <c r="B61" s="1">
        <v>3.070863E-4</v>
      </c>
      <c r="C61" s="1">
        <v>3.075151E-4</v>
      </c>
      <c r="D61" s="1">
        <v>6.89439E-6</v>
      </c>
      <c r="E61" s="1">
        <v>1.457183E-4</v>
      </c>
    </row>
    <row r="62" ht="15.75" customHeight="1">
      <c r="A62" s="1">
        <v>7.0</v>
      </c>
      <c r="B62" s="1">
        <v>3.053921E-4</v>
      </c>
      <c r="C62" s="1">
        <v>3.058322E-4</v>
      </c>
      <c r="D62" s="1">
        <v>7.029187E-6</v>
      </c>
      <c r="E62" s="1">
        <v>1.449115E-4</v>
      </c>
    </row>
    <row r="63" ht="15.75" customHeight="1">
      <c r="A63" s="1">
        <v>7.25</v>
      </c>
      <c r="B63" s="1">
        <v>3.038041E-4</v>
      </c>
      <c r="C63" s="1">
        <v>3.042531E-4</v>
      </c>
      <c r="D63" s="1">
        <v>7.163299E-6</v>
      </c>
      <c r="E63" s="1">
        <v>1.441547E-4</v>
      </c>
    </row>
    <row r="64" ht="15.75" customHeight="1">
      <c r="A64" s="1">
        <v>7.5</v>
      </c>
      <c r="B64" s="1">
        <v>3.023123E-4</v>
      </c>
      <c r="C64" s="1">
        <v>3.027685E-4</v>
      </c>
      <c r="D64" s="1">
        <v>7.29676E-6</v>
      </c>
      <c r="E64" s="1">
        <v>1.434435E-4</v>
      </c>
    </row>
    <row r="65" ht="15.75" customHeight="1">
      <c r="A65" s="1">
        <v>7.75</v>
      </c>
      <c r="B65" s="1">
        <v>3.009089E-4</v>
      </c>
      <c r="C65" s="1">
        <v>3.013708E-4</v>
      </c>
      <c r="D65" s="1">
        <v>7.429599E-6</v>
      </c>
      <c r="E65" s="1">
        <v>1.427739E-4</v>
      </c>
    </row>
    <row r="66" ht="15.75" customHeight="1">
      <c r="A66" s="1">
        <v>8.0</v>
      </c>
      <c r="B66" s="1">
        <v>2.99591E-4</v>
      </c>
      <c r="C66" s="1">
        <v>3.000571E-4</v>
      </c>
      <c r="D66" s="1">
        <v>7.561851E-6</v>
      </c>
      <c r="E66" s="1">
        <v>1.421449E-4</v>
      </c>
    </row>
    <row r="67" ht="15.75" customHeight="1">
      <c r="A67" s="1">
        <v>8.25</v>
      </c>
      <c r="B67" s="1">
        <v>2.983448E-4</v>
      </c>
      <c r="C67" s="1">
        <v>2.988146E-4</v>
      </c>
      <c r="D67" s="1">
        <v>7.693539E-6</v>
      </c>
      <c r="E67" s="1">
        <v>1.415497E-4</v>
      </c>
    </row>
    <row r="68" ht="15.75" customHeight="1">
      <c r="A68" s="1">
        <v>8.5</v>
      </c>
      <c r="B68" s="1">
        <v>2.971676E-4</v>
      </c>
      <c r="C68" s="1">
        <v>2.976407E-4</v>
      </c>
      <c r="D68" s="1">
        <v>7.824692E-6</v>
      </c>
      <c r="E68" s="1">
        <v>1.409874E-4</v>
      </c>
    </row>
    <row r="69" ht="15.75" customHeight="1">
      <c r="A69" s="1">
        <v>8.75</v>
      </c>
      <c r="B69" s="1">
        <v>2.960552E-4</v>
      </c>
      <c r="C69" s="1">
        <v>2.96531E-4</v>
      </c>
      <c r="D69" s="1">
        <v>7.955337E-6</v>
      </c>
      <c r="E69" s="1">
        <v>1.404558E-4</v>
      </c>
    </row>
    <row r="70" ht="15.75" customHeight="1">
      <c r="A70" s="1">
        <v>9.0</v>
      </c>
      <c r="B70" s="1">
        <v>2.950039E-4</v>
      </c>
      <c r="C70" s="1">
        <v>2.95482E-4</v>
      </c>
      <c r="D70" s="1">
        <v>8.085495E-6</v>
      </c>
      <c r="E70" s="1">
        <v>1.399533E-4</v>
      </c>
    </row>
    <row r="71" ht="15.75" customHeight="1">
      <c r="A71" s="1">
        <v>9.25</v>
      </c>
      <c r="B71" s="1">
        <v>2.940137E-4</v>
      </c>
      <c r="C71" s="1">
        <v>2.944932E-4</v>
      </c>
      <c r="D71" s="1">
        <v>8.215193E-6</v>
      </c>
      <c r="E71" s="1">
        <v>1.394798E-4</v>
      </c>
    </row>
    <row r="72" ht="15.75" customHeight="1">
      <c r="A72" s="1">
        <v>9.5</v>
      </c>
      <c r="B72" s="1">
        <v>2.930798E-4</v>
      </c>
      <c r="C72" s="1">
        <v>2.935603E-4</v>
      </c>
      <c r="D72" s="1">
        <v>8.344449E-6</v>
      </c>
      <c r="E72" s="1">
        <v>1.390331E-4</v>
      </c>
    </row>
    <row r="73" ht="15.75" customHeight="1">
      <c r="A73" s="1">
        <v>9.75</v>
      </c>
      <c r="B73" s="1">
        <v>2.922E-4</v>
      </c>
      <c r="C73" s="1">
        <v>2.926806E-4</v>
      </c>
      <c r="D73" s="1">
        <v>8.473285E-6</v>
      </c>
      <c r="E73" s="1">
        <v>1.386119E-4</v>
      </c>
    </row>
    <row r="74" ht="15.75" customHeight="1">
      <c r="A74" s="1">
        <v>10.0</v>
      </c>
      <c r="B74" s="1">
        <v>2.913701E-4</v>
      </c>
      <c r="C74" s="1">
        <v>2.918504E-4</v>
      </c>
      <c r="D74" s="1">
        <v>8.601719E-6</v>
      </c>
      <c r="E74" s="1">
        <v>1.382145E-4</v>
      </c>
    </row>
    <row r="75" ht="15.75" customHeight="1">
      <c r="A75" s="1">
        <v>10.25</v>
      </c>
      <c r="B75" s="1">
        <v>2.905861E-4</v>
      </c>
      <c r="C75" s="1">
        <v>2.910657E-4</v>
      </c>
      <c r="D75" s="1">
        <v>8.729768E-6</v>
      </c>
      <c r="E75" s="1">
        <v>1.378388E-4</v>
      </c>
    </row>
    <row r="76" ht="15.75" customHeight="1">
      <c r="A76" s="1">
        <v>10.5</v>
      </c>
      <c r="B76" s="1">
        <v>2.898455E-4</v>
      </c>
      <c r="C76" s="1">
        <v>2.903242E-4</v>
      </c>
      <c r="D76" s="1">
        <v>8.857451E-6</v>
      </c>
      <c r="E76" s="1">
        <v>1.374838E-4</v>
      </c>
    </row>
    <row r="77" ht="15.75" customHeight="1">
      <c r="A77" s="1">
        <v>10.75</v>
      </c>
      <c r="B77" s="1">
        <v>2.891451E-4</v>
      </c>
      <c r="C77" s="1">
        <v>2.896225E-4</v>
      </c>
      <c r="D77" s="1">
        <v>8.984782E-6</v>
      </c>
      <c r="E77" s="1">
        <v>1.371478E-4</v>
      </c>
    </row>
    <row r="78" ht="15.75" customHeight="1">
      <c r="A78" s="1">
        <v>11.0</v>
      </c>
      <c r="B78" s="1">
        <v>2.884832E-4</v>
      </c>
      <c r="C78" s="1">
        <v>2.889592E-4</v>
      </c>
      <c r="D78" s="1">
        <v>9.111776E-6</v>
      </c>
      <c r="E78" s="1">
        <v>1.368303E-4</v>
      </c>
    </row>
    <row r="79" ht="15.75" customHeight="1">
      <c r="A79" s="1">
        <v>11.25</v>
      </c>
      <c r="B79" s="1">
        <v>2.878577E-4</v>
      </c>
      <c r="C79" s="1">
        <v>2.883319E-4</v>
      </c>
      <c r="D79" s="1">
        <v>9.238451E-6</v>
      </c>
      <c r="E79" s="1">
        <v>1.3653E-4</v>
      </c>
    </row>
    <row r="80" ht="15.75" customHeight="1">
      <c r="A80" s="1">
        <v>11.5</v>
      </c>
      <c r="B80" s="1">
        <v>2.87267E-4</v>
      </c>
      <c r="C80" s="1">
        <v>2.877392E-4</v>
      </c>
      <c r="D80" s="1">
        <v>9.364816E-6</v>
      </c>
      <c r="E80" s="1">
        <v>1.362462E-4</v>
      </c>
    </row>
    <row r="81" ht="15.75" customHeight="1">
      <c r="A81" s="1">
        <v>11.75</v>
      </c>
      <c r="B81" s="1">
        <v>2.867081E-4</v>
      </c>
      <c r="C81" s="1">
        <v>2.871781E-4</v>
      </c>
      <c r="D81" s="1">
        <v>9.490886E-6</v>
      </c>
      <c r="E81" s="1">
        <v>1.359777E-4</v>
      </c>
    </row>
    <row r="82" ht="15.75" customHeight="1">
      <c r="A82" s="1">
        <v>12.0</v>
      </c>
      <c r="B82" s="1">
        <v>2.861799E-4</v>
      </c>
      <c r="C82" s="1">
        <v>2.866476E-4</v>
      </c>
      <c r="D82" s="1">
        <v>9.616672E-6</v>
      </c>
      <c r="E82" s="1">
        <v>1.357237E-4</v>
      </c>
    </row>
    <row r="83" ht="15.75" customHeight="1">
      <c r="A83" s="1">
        <v>12.25</v>
      </c>
      <c r="B83" s="1">
        <v>2.856813E-4</v>
      </c>
      <c r="C83" s="1">
        <v>2.861463E-4</v>
      </c>
      <c r="D83" s="1">
        <v>9.742186E-6</v>
      </c>
      <c r="E83" s="1">
        <v>1.354838E-4</v>
      </c>
    </row>
    <row r="84" ht="15.75" customHeight="1">
      <c r="A84" s="1">
        <v>12.5</v>
      </c>
      <c r="B84" s="1">
        <v>2.852094E-4</v>
      </c>
      <c r="C84" s="1">
        <v>2.856716E-4</v>
      </c>
      <c r="D84" s="1">
        <v>9.867439E-6</v>
      </c>
      <c r="E84" s="1">
        <v>1.352566E-4</v>
      </c>
    </row>
    <row r="85" ht="15.75" customHeight="1">
      <c r="A85" s="1">
        <v>12.75</v>
      </c>
      <c r="B85" s="1">
        <v>2.847634E-4</v>
      </c>
      <c r="C85" s="1">
        <v>2.852226E-4</v>
      </c>
      <c r="D85" s="1">
        <v>9.99244E-6</v>
      </c>
      <c r="E85" s="1">
        <v>1.350416E-4</v>
      </c>
    </row>
    <row r="86" ht="15.75" customHeight="1">
      <c r="A86" s="1">
        <v>13.0</v>
      </c>
      <c r="B86" s="1">
        <v>2.843424E-4</v>
      </c>
      <c r="C86" s="1">
        <v>2.847984E-4</v>
      </c>
      <c r="D86" s="1">
        <v>1.01172E-5</v>
      </c>
      <c r="E86" s="1">
        <v>1.348386E-4</v>
      </c>
    </row>
    <row r="87" ht="15.75" customHeight="1">
      <c r="A87" s="1">
        <v>13.25</v>
      </c>
      <c r="B87" s="1">
        <v>2.839442E-4</v>
      </c>
      <c r="C87" s="1">
        <v>2.843969E-4</v>
      </c>
      <c r="D87" s="1">
        <v>1.024172E-5</v>
      </c>
      <c r="E87" s="1">
        <v>1.346464E-4</v>
      </c>
    </row>
    <row r="88" ht="15.75" customHeight="1">
      <c r="A88" s="1">
        <v>13.5</v>
      </c>
      <c r="B88" s="1">
        <v>2.835677E-4</v>
      </c>
      <c r="C88" s="1">
        <v>2.840169E-4</v>
      </c>
      <c r="D88" s="1">
        <v>1.036603E-5</v>
      </c>
      <c r="E88" s="1">
        <v>1.344645E-4</v>
      </c>
    </row>
    <row r="89" ht="15.75" customHeight="1">
      <c r="A89" s="1">
        <v>13.75</v>
      </c>
      <c r="B89" s="1">
        <v>2.832118E-4</v>
      </c>
      <c r="C89" s="1">
        <v>2.836574E-4</v>
      </c>
      <c r="D89" s="1">
        <v>1.049011E-5</v>
      </c>
      <c r="E89" s="1">
        <v>1.342925E-4</v>
      </c>
    </row>
    <row r="90" ht="15.75" customHeight="1">
      <c r="A90" s="1">
        <v>14.0</v>
      </c>
      <c r="B90" s="1">
        <v>2.828753E-4</v>
      </c>
      <c r="C90" s="1">
        <v>2.833172E-4</v>
      </c>
      <c r="D90" s="1">
        <v>1.061399E-5</v>
      </c>
      <c r="E90" s="1">
        <v>1.341297E-4</v>
      </c>
    </row>
    <row r="91" ht="15.75" customHeight="1">
      <c r="A91" s="1">
        <v>14.25</v>
      </c>
      <c r="B91" s="1">
        <v>2.825568E-4</v>
      </c>
      <c r="C91" s="1">
        <v>2.829949E-4</v>
      </c>
      <c r="D91" s="1">
        <v>1.073766E-5</v>
      </c>
      <c r="E91" s="1">
        <v>1.339755E-4</v>
      </c>
    </row>
    <row r="92" ht="15.75" customHeight="1">
      <c r="A92" s="1">
        <v>14.5</v>
      </c>
      <c r="B92" s="1">
        <v>2.822554E-4</v>
      </c>
      <c r="C92" s="1">
        <v>2.826896E-4</v>
      </c>
      <c r="D92" s="1">
        <v>1.086114E-5</v>
      </c>
      <c r="E92" s="1">
        <v>1.338294E-4</v>
      </c>
    </row>
    <row r="93" ht="15.75" customHeight="1">
      <c r="A93" s="1">
        <v>14.75</v>
      </c>
      <c r="B93" s="1">
        <v>2.8197E-4</v>
      </c>
      <c r="C93" s="1">
        <v>2.824002E-4</v>
      </c>
      <c r="D93" s="1">
        <v>1.098442E-5</v>
      </c>
      <c r="E93" s="1">
        <v>1.33691E-4</v>
      </c>
    </row>
    <row r="94" ht="15.75" customHeight="1">
      <c r="A94" s="1">
        <v>15.0</v>
      </c>
      <c r="B94" s="1">
        <v>2.816998E-4</v>
      </c>
      <c r="C94" s="1">
        <v>2.82126E-4</v>
      </c>
      <c r="D94" s="1">
        <v>1.110753E-5</v>
      </c>
      <c r="E94" s="1">
        <v>1.335597E-4</v>
      </c>
    </row>
    <row r="95" ht="15.75" customHeight="1">
      <c r="A95" s="1">
        <v>15.25</v>
      </c>
      <c r="B95" s="1">
        <v>2.814438E-4</v>
      </c>
      <c r="C95" s="1">
        <v>2.818659E-4</v>
      </c>
      <c r="D95" s="1">
        <v>1.123046E-5</v>
      </c>
      <c r="E95" s="1">
        <v>1.334353E-4</v>
      </c>
    </row>
    <row r="96" ht="15.75" customHeight="1">
      <c r="A96" s="1">
        <v>15.5</v>
      </c>
      <c r="B96" s="1">
        <v>2.812012E-4</v>
      </c>
      <c r="C96" s="1">
        <v>2.816192E-4</v>
      </c>
      <c r="D96" s="1">
        <v>1.135322E-5</v>
      </c>
      <c r="E96" s="1">
        <v>1.333173E-4</v>
      </c>
    </row>
    <row r="97" ht="15.75" customHeight="1">
      <c r="A97" s="1">
        <v>15.75</v>
      </c>
      <c r="B97" s="1">
        <v>2.809712E-4</v>
      </c>
      <c r="C97" s="1">
        <v>2.813852E-4</v>
      </c>
      <c r="D97" s="1">
        <v>1.14758E-5</v>
      </c>
      <c r="E97" s="1">
        <v>1.332054E-4</v>
      </c>
    </row>
    <row r="98" ht="15.75" customHeight="1">
      <c r="A98" s="1">
        <v>16.0</v>
      </c>
      <c r="B98" s="1">
        <v>2.807533E-4</v>
      </c>
      <c r="C98" s="1">
        <v>2.811631E-4</v>
      </c>
      <c r="D98" s="1">
        <v>1.159823E-5</v>
      </c>
      <c r="E98" s="1">
        <v>1.330991E-4</v>
      </c>
    </row>
    <row r="99" ht="15.75" customHeight="1">
      <c r="A99" s="1">
        <v>16.25</v>
      </c>
      <c r="B99" s="1">
        <v>2.805468E-4</v>
      </c>
      <c r="C99" s="1">
        <v>2.809524E-4</v>
      </c>
      <c r="D99" s="1">
        <v>1.17205E-5</v>
      </c>
      <c r="E99" s="1">
        <v>1.329983E-4</v>
      </c>
    </row>
    <row r="100" ht="15.75" customHeight="1">
      <c r="A100" s="1">
        <v>16.5</v>
      </c>
      <c r="B100" s="1">
        <v>2.80351E-4</v>
      </c>
      <c r="C100" s="1">
        <v>2.807524E-4</v>
      </c>
      <c r="D100" s="1">
        <v>1.184262E-5</v>
      </c>
      <c r="E100" s="1">
        <v>1.329027E-4</v>
      </c>
    </row>
    <row r="101" ht="15.75" customHeight="1">
      <c r="A101" s="1">
        <v>16.75</v>
      </c>
      <c r="B101" s="1">
        <v>2.801653E-4</v>
      </c>
      <c r="C101" s="1">
        <v>2.805624E-4</v>
      </c>
      <c r="D101" s="1">
        <v>1.196458E-5</v>
      </c>
      <c r="E101" s="1">
        <v>1.328118E-4</v>
      </c>
    </row>
    <row r="102" ht="15.75" customHeight="1">
      <c r="A102" s="1">
        <v>17.0</v>
      </c>
      <c r="B102" s="1">
        <v>2.799892E-4</v>
      </c>
      <c r="C102" s="1">
        <v>2.803821E-4</v>
      </c>
      <c r="D102" s="1">
        <v>1.208641E-5</v>
      </c>
      <c r="E102" s="1">
        <v>1.327255E-4</v>
      </c>
    </row>
    <row r="103" ht="15.75" customHeight="1">
      <c r="A103" s="1">
        <v>17.25</v>
      </c>
      <c r="B103" s="1">
        <v>2.798222E-4</v>
      </c>
      <c r="C103" s="1">
        <v>2.802108E-4</v>
      </c>
      <c r="D103" s="1">
        <v>1.220808E-5</v>
      </c>
      <c r="E103" s="1">
        <v>1.326436E-4</v>
      </c>
    </row>
    <row r="104" ht="15.75" customHeight="1">
      <c r="A104" s="1">
        <v>17.5</v>
      </c>
      <c r="B104" s="1">
        <v>2.796638E-4</v>
      </c>
      <c r="C104" s="1">
        <v>2.800481E-4</v>
      </c>
      <c r="D104" s="1">
        <v>1.232962E-5</v>
      </c>
      <c r="E104" s="1">
        <v>1.325659E-4</v>
      </c>
    </row>
    <row r="105" ht="15.75" customHeight="1">
      <c r="A105" s="1">
        <v>17.75</v>
      </c>
      <c r="B105" s="1">
        <v>2.795133E-4</v>
      </c>
      <c r="C105" s="1">
        <v>2.798934E-4</v>
      </c>
      <c r="D105" s="1">
        <v>1.245103E-5</v>
      </c>
      <c r="E105" s="1">
        <v>1.324919E-4</v>
      </c>
    </row>
    <row r="106" ht="15.75" customHeight="1">
      <c r="A106" s="1">
        <v>18.0</v>
      </c>
      <c r="B106" s="1">
        <v>2.793705E-4</v>
      </c>
      <c r="C106" s="1">
        <v>2.797463E-4</v>
      </c>
      <c r="D106" s="1">
        <v>1.25723E-5</v>
      </c>
      <c r="E106" s="1">
        <v>1.324215E-4</v>
      </c>
    </row>
    <row r="107" ht="15.75" customHeight="1">
      <c r="A107" s="1">
        <v>18.25</v>
      </c>
      <c r="B107" s="1">
        <v>2.792349E-4</v>
      </c>
      <c r="C107" s="1">
        <v>2.796064E-4</v>
      </c>
      <c r="D107" s="1">
        <v>1.269344E-5</v>
      </c>
      <c r="E107" s="1">
        <v>1.323546E-4</v>
      </c>
    </row>
    <row r="108" ht="15.75" customHeight="1">
      <c r="A108" s="1">
        <v>18.5</v>
      </c>
      <c r="B108" s="1">
        <v>2.791061E-4</v>
      </c>
      <c r="C108" s="1">
        <v>2.794733E-4</v>
      </c>
      <c r="D108" s="1">
        <v>1.281446E-5</v>
      </c>
      <c r="E108" s="1">
        <v>1.32291E-4</v>
      </c>
    </row>
    <row r="109" ht="15.75" customHeight="1">
      <c r="A109" s="1">
        <v>18.75</v>
      </c>
      <c r="B109" s="1">
        <v>2.789835E-4</v>
      </c>
      <c r="C109" s="1">
        <v>2.793465E-4</v>
      </c>
      <c r="D109" s="1">
        <v>1.293535E-5</v>
      </c>
      <c r="E109" s="1">
        <v>1.322304E-4</v>
      </c>
    </row>
    <row r="110" ht="15.75" customHeight="1">
      <c r="A110" s="1">
        <v>19.0</v>
      </c>
      <c r="B110" s="1">
        <v>2.78867E-4</v>
      </c>
      <c r="C110" s="1">
        <v>2.792256E-4</v>
      </c>
      <c r="D110" s="1">
        <v>1.305612E-5</v>
      </c>
      <c r="E110" s="1">
        <v>1.321726E-4</v>
      </c>
    </row>
    <row r="111" ht="15.75" customHeight="1">
      <c r="A111" s="1">
        <v>19.25</v>
      </c>
      <c r="B111" s="1">
        <v>2.787561E-4</v>
      </c>
      <c r="C111" s="1">
        <v>2.791105E-4</v>
      </c>
      <c r="D111" s="1">
        <v>1.317677E-5</v>
      </c>
      <c r="E111" s="1">
        <v>1.321176E-4</v>
      </c>
    </row>
    <row r="112" ht="15.75" customHeight="1">
      <c r="A112" s="1">
        <v>19.5</v>
      </c>
      <c r="B112" s="1">
        <v>2.786505E-4</v>
      </c>
      <c r="C112" s="1">
        <v>2.790007E-4</v>
      </c>
      <c r="D112" s="1">
        <v>1.329731E-5</v>
      </c>
      <c r="E112" s="1">
        <v>1.320651E-4</v>
      </c>
    </row>
    <row r="113" ht="15.75" customHeight="1">
      <c r="A113" s="1">
        <v>19.75</v>
      </c>
      <c r="B113" s="1">
        <v>2.785499E-4</v>
      </c>
      <c r="C113" s="1">
        <v>2.788959E-4</v>
      </c>
      <c r="D113" s="1">
        <v>1.341772E-5</v>
      </c>
      <c r="E113" s="1">
        <v>1.320151E-4</v>
      </c>
    </row>
    <row r="114" ht="15.75" customHeight="1">
      <c r="A114" s="1">
        <v>20.0</v>
      </c>
      <c r="B114" s="1">
        <v>2.784541E-4</v>
      </c>
      <c r="C114" s="1">
        <v>2.787959E-4</v>
      </c>
      <c r="D114" s="1">
        <v>1.353803E-5</v>
      </c>
      <c r="E114" s="1">
        <v>1.319673E-4</v>
      </c>
    </row>
    <row r="115" ht="15.75" customHeight="1">
      <c r="A115" s="1">
        <v>20.25</v>
      </c>
      <c r="B115" s="1">
        <v>2.783627E-4</v>
      </c>
      <c r="C115" s="1">
        <v>2.787003E-4</v>
      </c>
      <c r="D115" s="1">
        <v>1.365822E-5</v>
      </c>
      <c r="E115" s="1">
        <v>1.319217E-4</v>
      </c>
    </row>
    <row r="116" ht="15.75" customHeight="1">
      <c r="A116" s="1">
        <v>20.5</v>
      </c>
      <c r="B116" s="1">
        <v>2.782756E-4</v>
      </c>
      <c r="C116" s="1">
        <v>2.786091E-4</v>
      </c>
      <c r="D116" s="1">
        <v>1.37783E-5</v>
      </c>
      <c r="E116" s="1">
        <v>1.318781E-4</v>
      </c>
    </row>
    <row r="117" ht="15.75" customHeight="1">
      <c r="A117" s="1">
        <v>20.75</v>
      </c>
      <c r="B117" s="1">
        <v>2.781924E-4</v>
      </c>
      <c r="C117" s="1">
        <v>2.785218E-4</v>
      </c>
      <c r="D117" s="1">
        <v>1.389828E-5</v>
      </c>
      <c r="E117" s="1">
        <v>1.318364E-4</v>
      </c>
    </row>
    <row r="118" ht="15.75" customHeight="1">
      <c r="A118" s="1">
        <v>21.0</v>
      </c>
      <c r="B118" s="1">
        <v>2.781131E-4</v>
      </c>
      <c r="C118" s="1">
        <v>2.784384E-4</v>
      </c>
      <c r="D118" s="1">
        <v>1.401815E-5</v>
      </c>
      <c r="E118" s="1">
        <v>1.317965E-4</v>
      </c>
    </row>
    <row r="119" ht="15.75" customHeight="1">
      <c r="A119" s="1">
        <v>21.25</v>
      </c>
      <c r="B119" s="1">
        <v>2.780373E-4</v>
      </c>
      <c r="C119" s="1">
        <v>2.783585E-4</v>
      </c>
      <c r="D119" s="1">
        <v>1.413791E-5</v>
      </c>
      <c r="E119" s="1">
        <v>1.317584E-4</v>
      </c>
    </row>
    <row r="120" ht="15.75" customHeight="1">
      <c r="A120" s="1">
        <v>21.5</v>
      </c>
      <c r="B120" s="1">
        <v>2.779649E-4</v>
      </c>
      <c r="C120" s="1">
        <v>2.782821E-4</v>
      </c>
      <c r="D120" s="1">
        <v>1.425757E-5</v>
      </c>
      <c r="E120" s="1">
        <v>1.317219E-4</v>
      </c>
    </row>
    <row r="121" ht="15.75" customHeight="1">
      <c r="A121" s="1">
        <v>21.75</v>
      </c>
      <c r="B121" s="1">
        <v>2.778957E-4</v>
      </c>
      <c r="C121" s="1">
        <v>2.782089E-4</v>
      </c>
      <c r="D121" s="1">
        <v>1.437713E-5</v>
      </c>
      <c r="E121" s="1">
        <v>1.316869E-4</v>
      </c>
    </row>
    <row r="122" ht="15.75" customHeight="1">
      <c r="A122" s="1">
        <v>22.0</v>
      </c>
      <c r="B122" s="1">
        <v>2.778294E-4</v>
      </c>
      <c r="C122" s="1">
        <v>2.781387E-4</v>
      </c>
      <c r="D122" s="1">
        <v>1.449659E-5</v>
      </c>
      <c r="E122" s="1">
        <v>1.316534E-4</v>
      </c>
    </row>
    <row r="123" ht="15.75" customHeight="1">
      <c r="A123" s="1">
        <v>22.25</v>
      </c>
      <c r="B123" s="1">
        <v>2.777661E-4</v>
      </c>
      <c r="C123" s="1">
        <v>2.780714E-4</v>
      </c>
      <c r="D123" s="1">
        <v>1.461594E-5</v>
      </c>
      <c r="E123" s="1">
        <v>1.316213E-4</v>
      </c>
    </row>
    <row r="124" ht="15.75" customHeight="1">
      <c r="A124" s="1">
        <v>22.5</v>
      </c>
      <c r="B124" s="1">
        <v>2.777055E-4</v>
      </c>
      <c r="C124" s="1">
        <v>2.780069E-4</v>
      </c>
      <c r="D124" s="1">
        <v>1.47352E-5</v>
      </c>
      <c r="E124" s="1">
        <v>1.315905E-4</v>
      </c>
    </row>
    <row r="125" ht="15.75" customHeight="1">
      <c r="A125" s="1">
        <v>22.75</v>
      </c>
      <c r="B125" s="1">
        <v>2.776473E-4</v>
      </c>
      <c r="C125" s="1">
        <v>2.779448E-4</v>
      </c>
      <c r="D125" s="1">
        <v>1.485436E-5</v>
      </c>
      <c r="E125" s="1">
        <v>1.315609E-4</v>
      </c>
    </row>
    <row r="126" ht="15.75" customHeight="1">
      <c r="A126" s="1">
        <v>23.0</v>
      </c>
      <c r="B126" s="1">
        <v>2.775916E-4</v>
      </c>
      <c r="C126" s="1">
        <v>2.778853E-4</v>
      </c>
      <c r="D126" s="1">
        <v>1.497342E-5</v>
      </c>
      <c r="E126" s="1">
        <v>1.315325E-4</v>
      </c>
    </row>
    <row r="127" ht="15.75" customHeight="1">
      <c r="A127" s="1">
        <v>23.25</v>
      </c>
      <c r="B127" s="1">
        <v>2.775381E-4</v>
      </c>
      <c r="C127" s="1">
        <v>2.77828E-4</v>
      </c>
      <c r="D127" s="1">
        <v>1.509238E-5</v>
      </c>
      <c r="E127" s="1">
        <v>1.315052E-4</v>
      </c>
    </row>
    <row r="128" ht="15.75" customHeight="1">
      <c r="A128" s="1">
        <v>23.5</v>
      </c>
      <c r="B128" s="1">
        <v>2.774867E-4</v>
      </c>
      <c r="C128" s="1">
        <v>2.777728E-4</v>
      </c>
      <c r="D128" s="1">
        <v>1.521126E-5</v>
      </c>
      <c r="E128" s="1">
        <v>1.314789E-4</v>
      </c>
    </row>
    <row r="129" ht="15.75" customHeight="1">
      <c r="A129" s="1">
        <v>23.75</v>
      </c>
      <c r="B129" s="1">
        <v>2.774374E-4</v>
      </c>
      <c r="C129" s="1">
        <v>2.777197E-4</v>
      </c>
      <c r="D129" s="1">
        <v>1.533003E-5</v>
      </c>
      <c r="E129" s="1">
        <v>1.314535E-4</v>
      </c>
    </row>
    <row r="130" ht="15.75" customHeight="1">
      <c r="A130" s="1">
        <v>24.0</v>
      </c>
      <c r="B130" s="1">
        <v>2.773899E-4</v>
      </c>
      <c r="C130" s="1">
        <v>2.776686E-4</v>
      </c>
      <c r="D130" s="1">
        <v>1.544872E-5</v>
      </c>
      <c r="E130" s="1">
        <v>1.314291E-4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3" t="s">
        <v>36</v>
      </c>
      <c r="AG1" s="3" t="s">
        <v>37</v>
      </c>
      <c r="AH1" s="3" t="s">
        <v>38</v>
      </c>
      <c r="AI1" s="3" t="s">
        <v>39</v>
      </c>
    </row>
    <row r="2">
      <c r="A2" s="4" t="s">
        <v>40</v>
      </c>
      <c r="B2" s="4" t="s">
        <v>41</v>
      </c>
      <c r="C2" s="5">
        <v>485.466</v>
      </c>
      <c r="D2" s="5">
        <v>3.059</v>
      </c>
      <c r="E2" s="5">
        <v>82.25</v>
      </c>
      <c r="F2" s="5">
        <v>0.0</v>
      </c>
      <c r="G2" s="5">
        <v>7.0</v>
      </c>
      <c r="H2" s="5">
        <v>7.0</v>
      </c>
      <c r="I2" s="5">
        <v>-4.747</v>
      </c>
      <c r="J2" s="5">
        <v>0.0</v>
      </c>
      <c r="K2" s="5">
        <v>5.4</v>
      </c>
      <c r="L2" s="3">
        <v>-5.078</v>
      </c>
      <c r="M2" s="4">
        <v>0.02499</v>
      </c>
      <c r="N2" s="2" t="s">
        <v>42</v>
      </c>
      <c r="O2" s="1">
        <v>0.374472321709618</v>
      </c>
      <c r="P2" s="1">
        <v>3704.58769798279</v>
      </c>
      <c r="Q2" s="1">
        <v>122.091975911458</v>
      </c>
      <c r="R2" s="1">
        <v>0.140512511134148</v>
      </c>
      <c r="S2" s="1">
        <v>0.00120398204308003</v>
      </c>
      <c r="T2" s="1">
        <v>0.0115364724770188</v>
      </c>
      <c r="U2" s="1">
        <v>1.17639428935945E-5</v>
      </c>
      <c r="V2" s="1">
        <v>1.17639428935945E-5</v>
      </c>
      <c r="W2" s="1">
        <v>2.829451E-6</v>
      </c>
      <c r="X2" s="1">
        <v>3.39048E-6</v>
      </c>
      <c r="Y2" s="1">
        <v>3.863721E-6</v>
      </c>
      <c r="Z2" s="1">
        <v>4.362065E-4</v>
      </c>
      <c r="AA2" s="1">
        <v>2.855644E-4</v>
      </c>
      <c r="AB2" s="1">
        <v>2.212011E-4</v>
      </c>
      <c r="AC2" s="4">
        <f t="shared" ref="AC2:AE2" si="1">DIVIDE(W2,Z2)</f>
        <v>0.006486494355</v>
      </c>
      <c r="AD2" s="4">
        <f t="shared" si="1"/>
        <v>0.01187290853</v>
      </c>
      <c r="AE2" s="4">
        <f t="shared" si="1"/>
        <v>0.01746700627</v>
      </c>
      <c r="AF2" s="4">
        <f t="shared" ref="AF2:AF19" si="3">DIVIDE(Y2, W2)</f>
        <v>1.365537343</v>
      </c>
      <c r="AG2" s="4">
        <f t="shared" ref="AG2:AG19" si="4">DIVIDE(AB2, Z2)</f>
        <v>0.507101797</v>
      </c>
      <c r="AH2" s="4">
        <f t="shared" ref="AH2:AH19" si="5">DIVIDE(T2,R2)</f>
        <v>0.08210281336</v>
      </c>
      <c r="AI2" s="4">
        <f t="shared" ref="AI2:AI19" si="6">
0.3 * ((AD2 - AVERAGE($AD$2:$AD$18)) / STDEV($AD$2:$AD$18)) +
0.15 * ((AC2 - AVERAGE($AC$2:$AC$18)) / STDEV($AC$2:$AC$18)) +
0.1 * ((AE2 - AVERAGE($AE$2:$AE$18)) / STDEV($AE$2:$AE$18)) +
0.2 * ((T2  - AVERAGE($T$2:$T$18))  / STDEV($T$2:$T$18)) +
0.15 * ((K2  - AVERAGE($K$2:$K$18))  / STDEV($K$2:$K$18)) +
0.1 * ( -1 * (L2 - AVERAGE($L$2:$L$18)) / STDEV($L$2:$L$18)) +
IF(OR(AF2&lt;0.15, AF2&gt;1.5), -0.2, 0) +
IF(AG2&gt;0.8, -0.1, 0)
</f>
        <v>-0.7283594762</v>
      </c>
    </row>
    <row r="3">
      <c r="A3" s="4" t="s">
        <v>43</v>
      </c>
      <c r="B3" s="4" t="s">
        <v>44</v>
      </c>
      <c r="C3" s="5">
        <v>467.476</v>
      </c>
      <c r="D3" s="5">
        <v>2.762</v>
      </c>
      <c r="E3" s="5">
        <v>82.25</v>
      </c>
      <c r="F3" s="5">
        <v>0.0</v>
      </c>
      <c r="G3" s="5">
        <v>7.0</v>
      </c>
      <c r="H3" s="5">
        <v>8.0</v>
      </c>
      <c r="I3" s="5">
        <v>-4.382</v>
      </c>
      <c r="J3" s="5">
        <v>0.0</v>
      </c>
      <c r="K3" s="5">
        <v>5.4</v>
      </c>
      <c r="L3" s="3">
        <v>-5.2</v>
      </c>
      <c r="M3" s="4">
        <v>0.04059</v>
      </c>
      <c r="N3" s="2" t="s">
        <v>42</v>
      </c>
      <c r="O3" s="1">
        <v>0.306315516354516</v>
      </c>
      <c r="P3" s="1">
        <v>3226.84597969055</v>
      </c>
      <c r="Q3" s="1">
        <v>128.976171875</v>
      </c>
      <c r="R3" s="1">
        <v>0.166341304779053</v>
      </c>
      <c r="S3" s="1">
        <v>0.00135461706668139</v>
      </c>
      <c r="T3" s="1">
        <v>0.0111947190016508</v>
      </c>
      <c r="U3" s="1">
        <v>1.15469192678574E-5</v>
      </c>
      <c r="V3" s="1">
        <v>1.15469192678574E-5</v>
      </c>
      <c r="W3" s="1">
        <v>2.820237E-6</v>
      </c>
      <c r="X3" s="1">
        <v>3.287739E-6</v>
      </c>
      <c r="Y3" s="1">
        <v>3.711375E-6</v>
      </c>
      <c r="Z3" s="1">
        <v>5.038422E-4</v>
      </c>
      <c r="AA3" s="1">
        <v>3.235614E-4</v>
      </c>
      <c r="AB3" s="1">
        <v>2.496332E-4</v>
      </c>
      <c r="AC3" s="4">
        <f t="shared" ref="AC3:AE3" si="2">DIVIDE(W3,Z3)</f>
        <v>0.005597460872</v>
      </c>
      <c r="AD3" s="4">
        <f t="shared" si="2"/>
        <v>0.01016109771</v>
      </c>
      <c r="AE3" s="4">
        <f t="shared" si="2"/>
        <v>0.01486731332</v>
      </c>
      <c r="AF3" s="4">
        <f t="shared" si="3"/>
        <v>1.315979827</v>
      </c>
      <c r="AG3" s="4">
        <f t="shared" si="4"/>
        <v>0.4954590941</v>
      </c>
      <c r="AH3" s="4">
        <f t="shared" si="5"/>
        <v>0.06729969454</v>
      </c>
      <c r="AI3" s="4">
        <f t="shared" si="6"/>
        <v>-1.048104056</v>
      </c>
    </row>
    <row r="4">
      <c r="A4" s="4" t="s">
        <v>45</v>
      </c>
      <c r="B4" s="4" t="s">
        <v>46</v>
      </c>
      <c r="C4" s="5">
        <v>469.467</v>
      </c>
      <c r="D4" s="5">
        <v>3.263</v>
      </c>
      <c r="E4" s="5">
        <v>73.02</v>
      </c>
      <c r="F4" s="5">
        <v>0.0</v>
      </c>
      <c r="G4" s="5">
        <v>6.0</v>
      </c>
      <c r="H4" s="5">
        <v>7.0</v>
      </c>
      <c r="I4" s="5">
        <v>-4.727</v>
      </c>
      <c r="J4" s="5">
        <v>0.0</v>
      </c>
      <c r="K4" s="5">
        <v>5.4</v>
      </c>
      <c r="L4" s="3">
        <v>-6.605</v>
      </c>
      <c r="M4" s="4">
        <v>0.01784</v>
      </c>
      <c r="N4" s="2" t="s">
        <v>42</v>
      </c>
      <c r="O4" s="1">
        <v>0.419591524405405</v>
      </c>
      <c r="P4" s="1">
        <v>4154.88958358765</v>
      </c>
      <c r="Q4" s="1">
        <v>122.372013346354</v>
      </c>
      <c r="R4" s="1">
        <v>0.133854418992996</v>
      </c>
      <c r="S4" s="1">
        <v>0.00146197958383709</v>
      </c>
      <c r="T4" s="1">
        <v>0.0152778057381511</v>
      </c>
      <c r="U4" s="1">
        <v>1.55127727339277E-5</v>
      </c>
      <c r="V4" s="1">
        <v>1.55127727339277E-5</v>
      </c>
      <c r="W4" s="1">
        <v>3.514815E-6</v>
      </c>
      <c r="X4" s="1">
        <v>4.386354E-6</v>
      </c>
      <c r="Y4" s="1">
        <v>5.076171E-6</v>
      </c>
      <c r="Z4" s="1">
        <v>4.03412E-4</v>
      </c>
      <c r="AA4" s="1">
        <v>2.728738E-4</v>
      </c>
      <c r="AB4" s="1">
        <v>2.124819E-4</v>
      </c>
      <c r="AC4" s="4">
        <f t="shared" ref="AC4:AE4" si="7">DIVIDE(W4,Z4)</f>
        <v>0.008712718015</v>
      </c>
      <c r="AD4" s="4">
        <f t="shared" si="7"/>
        <v>0.01607466162</v>
      </c>
      <c r="AE4" s="4">
        <f t="shared" si="7"/>
        <v>0.02388989839</v>
      </c>
      <c r="AF4" s="4">
        <f t="shared" si="3"/>
        <v>1.444221389</v>
      </c>
      <c r="AG4" s="4">
        <f t="shared" si="4"/>
        <v>0.5267118975</v>
      </c>
      <c r="AH4" s="4">
        <f t="shared" si="5"/>
        <v>0.1141374775</v>
      </c>
      <c r="AI4" s="4">
        <f t="shared" si="6"/>
        <v>0.6760676977</v>
      </c>
    </row>
    <row r="5">
      <c r="A5" s="4" t="s">
        <v>47</v>
      </c>
      <c r="B5" s="4" t="s">
        <v>48</v>
      </c>
      <c r="C5" s="5">
        <v>419.46</v>
      </c>
      <c r="D5" s="5">
        <v>2.376</v>
      </c>
      <c r="E5" s="5">
        <v>73.02</v>
      </c>
      <c r="F5" s="5">
        <v>0.0</v>
      </c>
      <c r="G5" s="5">
        <v>6.0</v>
      </c>
      <c r="H5" s="5">
        <v>6.0</v>
      </c>
      <c r="I5" s="5">
        <v>-3.925</v>
      </c>
      <c r="J5" s="5">
        <v>0.0</v>
      </c>
      <c r="K5" s="5">
        <v>5.4</v>
      </c>
      <c r="L5" s="3">
        <v>-5.699</v>
      </c>
      <c r="M5" s="4">
        <v>0.07508</v>
      </c>
      <c r="N5" s="2" t="s">
        <v>42</v>
      </c>
      <c r="O5" s="1">
        <v>0.222316681174561</v>
      </c>
      <c r="P5" s="1">
        <v>2783.29610824585</v>
      </c>
      <c r="Q5" s="1">
        <v>150.905615234375</v>
      </c>
      <c r="R5" s="1">
        <v>0.217423871159554</v>
      </c>
      <c r="S5" s="1">
        <v>0.00187023682519794</v>
      </c>
      <c r="T5" s="1">
        <v>0.0162786804139614</v>
      </c>
      <c r="U5" s="1">
        <v>1.72105737874517E-5</v>
      </c>
      <c r="V5" s="1">
        <v>1.72105737874517E-5</v>
      </c>
      <c r="W5" s="1">
        <v>3.752228E-6</v>
      </c>
      <c r="X5" s="1">
        <v>4.469913E-6</v>
      </c>
      <c r="Y5" s="1">
        <v>5.089864E-6</v>
      </c>
      <c r="Z5" s="1">
        <v>5.891255E-4</v>
      </c>
      <c r="AA5" s="1">
        <v>3.858691E-4</v>
      </c>
      <c r="AB5" s="1">
        <v>2.974194E-4</v>
      </c>
      <c r="AC5" s="4">
        <f t="shared" ref="AC5:AE5" si="8">DIVIDE(W5,Z5)</f>
        <v>0.006369148849</v>
      </c>
      <c r="AD5" s="4">
        <f t="shared" si="8"/>
        <v>0.01158401385</v>
      </c>
      <c r="AE5" s="4">
        <f t="shared" si="8"/>
        <v>0.017113423</v>
      </c>
      <c r="AF5" s="4">
        <f t="shared" si="3"/>
        <v>1.35649113</v>
      </c>
      <c r="AG5" s="4">
        <f t="shared" si="4"/>
        <v>0.5048489668</v>
      </c>
      <c r="AH5" s="4">
        <f t="shared" si="5"/>
        <v>0.07487071372</v>
      </c>
      <c r="AI5" s="4">
        <f t="shared" si="6"/>
        <v>-0.2970102124</v>
      </c>
    </row>
    <row r="6">
      <c r="A6" s="4" t="s">
        <v>49</v>
      </c>
      <c r="B6" s="4" t="s">
        <v>50</v>
      </c>
      <c r="C6" s="5">
        <v>469.467</v>
      </c>
      <c r="D6" s="5">
        <v>2.948</v>
      </c>
      <c r="E6" s="5">
        <v>73.02</v>
      </c>
      <c r="F6" s="5">
        <v>0.0</v>
      </c>
      <c r="G6" s="5">
        <v>6.0</v>
      </c>
      <c r="H6" s="5">
        <v>8.0</v>
      </c>
      <c r="I6" s="5">
        <v>-4.463</v>
      </c>
      <c r="J6" s="5">
        <v>0.0</v>
      </c>
      <c r="K6" s="5">
        <v>5.4</v>
      </c>
      <c r="L6" s="3">
        <v>-5.699</v>
      </c>
      <c r="M6" s="4">
        <v>0.02998</v>
      </c>
      <c r="N6" s="2" t="s">
        <v>42</v>
      </c>
      <c r="O6" s="1">
        <v>0.336217432050034</v>
      </c>
      <c r="P6" s="1">
        <v>3590.27147293091</v>
      </c>
      <c r="Q6" s="1">
        <v>130.796769205729</v>
      </c>
      <c r="R6" s="1">
        <v>0.153810903429985</v>
      </c>
      <c r="S6" s="1">
        <v>0.00156661693472415</v>
      </c>
      <c r="T6" s="1">
        <v>0.0140813812613487</v>
      </c>
      <c r="U6" s="1">
        <v>1.44826553878374E-5</v>
      </c>
      <c r="V6" s="1">
        <v>1.44826553878374E-5</v>
      </c>
      <c r="W6" s="1">
        <v>3.303209E-6</v>
      </c>
      <c r="X6" s="1">
        <v>4.032245E-6</v>
      </c>
      <c r="Y6" s="1">
        <v>4.628211E-6</v>
      </c>
      <c r="Z6" s="1">
        <v>4.543744E-4</v>
      </c>
      <c r="AA6" s="1">
        <v>3.013863E-4</v>
      </c>
      <c r="AB6" s="1">
        <v>2.330121E-4</v>
      </c>
      <c r="AC6" s="4">
        <f t="shared" ref="AC6:AE6" si="9">DIVIDE(W6,Z6)</f>
        <v>0.007269795569</v>
      </c>
      <c r="AD6" s="4">
        <f t="shared" si="9"/>
        <v>0.01337899234</v>
      </c>
      <c r="AE6" s="4">
        <f t="shared" si="9"/>
        <v>0.01986253504</v>
      </c>
      <c r="AF6" s="4">
        <f t="shared" si="3"/>
        <v>1.401125693</v>
      </c>
      <c r="AG6" s="4">
        <f t="shared" si="4"/>
        <v>0.5128196043</v>
      </c>
      <c r="AH6" s="4">
        <f t="shared" si="5"/>
        <v>0.09154995483</v>
      </c>
      <c r="AI6" s="4">
        <f t="shared" si="6"/>
        <v>-0.1208578244</v>
      </c>
    </row>
    <row r="7">
      <c r="A7" s="4" t="s">
        <v>51</v>
      </c>
      <c r="B7" s="4" t="s">
        <v>52</v>
      </c>
      <c r="C7" s="5">
        <v>437.45</v>
      </c>
      <c r="D7" s="5">
        <v>2.515</v>
      </c>
      <c r="E7" s="5">
        <v>73.02</v>
      </c>
      <c r="F7" s="5">
        <v>0.0</v>
      </c>
      <c r="G7" s="5">
        <v>6.0</v>
      </c>
      <c r="H7" s="5">
        <v>6.0</v>
      </c>
      <c r="I7" s="5">
        <v>-4.124</v>
      </c>
      <c r="J7" s="5">
        <v>0.0</v>
      </c>
      <c r="K7" s="5">
        <v>5.4</v>
      </c>
      <c r="L7" s="3">
        <v>-5.459</v>
      </c>
      <c r="M7" s="4">
        <v>0.06032</v>
      </c>
      <c r="N7" s="2" t="s">
        <v>42</v>
      </c>
      <c r="O7" s="1">
        <v>0.22990713478066</v>
      </c>
      <c r="P7" s="1">
        <v>3024.72591400146</v>
      </c>
      <c r="Q7" s="1">
        <v>158.349446614583</v>
      </c>
      <c r="R7" s="1">
        <v>0.19343076646328</v>
      </c>
      <c r="S7" s="1">
        <v>0.00169766007456928</v>
      </c>
      <c r="T7" s="1">
        <v>0.0202749148011208</v>
      </c>
      <c r="U7" s="1">
        <v>2.13698476727586E-5</v>
      </c>
      <c r="V7" s="1">
        <v>2.13698476727586E-5</v>
      </c>
      <c r="W7" s="1">
        <v>4.401873E-6</v>
      </c>
      <c r="X7" s="1">
        <v>5.471862E-6</v>
      </c>
      <c r="Y7" s="1">
        <v>6.321085E-6</v>
      </c>
      <c r="Z7" s="1">
        <v>5.306997E-4</v>
      </c>
      <c r="AA7" s="1">
        <v>3.550937E-4</v>
      </c>
      <c r="AB7" s="1">
        <v>2.712416E-4</v>
      </c>
      <c r="AC7" s="4">
        <f t="shared" ref="AC7:AE7" si="10">DIVIDE(W7,Z7)</f>
        <v>0.008294470489</v>
      </c>
      <c r="AD7" s="4">
        <f t="shared" si="10"/>
        <v>0.0154096285</v>
      </c>
      <c r="AE7" s="4">
        <f t="shared" si="10"/>
        <v>0.02330426085</v>
      </c>
      <c r="AF7" s="4">
        <f t="shared" si="3"/>
        <v>1.435998949</v>
      </c>
      <c r="AG7" s="4">
        <f t="shared" si="4"/>
        <v>0.5111018529</v>
      </c>
      <c r="AH7" s="4">
        <f t="shared" si="5"/>
        <v>0.1048174247</v>
      </c>
      <c r="AI7" s="4">
        <f t="shared" si="6"/>
        <v>0.6613186245</v>
      </c>
    </row>
    <row r="8">
      <c r="A8" s="4" t="s">
        <v>53</v>
      </c>
      <c r="B8" s="4" t="s">
        <v>54</v>
      </c>
      <c r="C8" s="5">
        <v>473.43</v>
      </c>
      <c r="D8" s="5">
        <v>3.374</v>
      </c>
      <c r="E8" s="5">
        <v>73.02</v>
      </c>
      <c r="F8" s="5">
        <v>0.0</v>
      </c>
      <c r="G8" s="5">
        <v>6.0</v>
      </c>
      <c r="H8" s="5">
        <v>7.0</v>
      </c>
      <c r="I8" s="5">
        <v>-4.822</v>
      </c>
      <c r="J8" s="5">
        <v>0.0</v>
      </c>
      <c r="K8" s="5">
        <v>5.4</v>
      </c>
      <c r="L8" s="3">
        <v>-5.5</v>
      </c>
      <c r="M8" s="4">
        <v>0.01484</v>
      </c>
      <c r="N8" s="2" t="s">
        <v>42</v>
      </c>
      <c r="O8" s="1">
        <v>0.446211110102013</v>
      </c>
      <c r="P8" s="1">
        <v>4431.86140060425</v>
      </c>
      <c r="Q8" s="1">
        <v>122.745914713542</v>
      </c>
      <c r="R8" s="1">
        <v>0.124600321054459</v>
      </c>
      <c r="S8" s="1">
        <v>0.00136439444031566</v>
      </c>
      <c r="T8" s="1">
        <v>0.0184145923703909</v>
      </c>
      <c r="U8" s="1">
        <v>1.86459037649911E-5</v>
      </c>
      <c r="V8" s="1">
        <v>1.86459037649911E-5</v>
      </c>
      <c r="W8" s="1">
        <v>4.08632E-6</v>
      </c>
      <c r="X8" s="1">
        <v>5.217634E-6</v>
      </c>
      <c r="Y8" s="1">
        <v>6.092544E-6</v>
      </c>
      <c r="Z8" s="1">
        <v>3.745026E-4</v>
      </c>
      <c r="AA8" s="1">
        <v>2.582692E-4</v>
      </c>
      <c r="AB8" s="1">
        <v>2.015203E-4</v>
      </c>
      <c r="AC8" s="4">
        <f t="shared" ref="AC8:AE8" si="11">DIVIDE(W8,Z8)</f>
        <v>0.01091132612</v>
      </c>
      <c r="AD8" s="4">
        <f t="shared" si="11"/>
        <v>0.02020230829</v>
      </c>
      <c r="AE8" s="4">
        <f t="shared" si="11"/>
        <v>0.03023290458</v>
      </c>
      <c r="AF8" s="4">
        <f t="shared" si="3"/>
        <v>1.49096106</v>
      </c>
      <c r="AG8" s="4">
        <f t="shared" si="4"/>
        <v>0.5381012041</v>
      </c>
      <c r="AH8" s="4">
        <f t="shared" si="5"/>
        <v>0.1477892851</v>
      </c>
      <c r="AI8" s="4">
        <f t="shared" si="6"/>
        <v>1.441893695</v>
      </c>
    </row>
    <row r="9">
      <c r="A9" s="4" t="s">
        <v>55</v>
      </c>
      <c r="B9" s="4" t="s">
        <v>56</v>
      </c>
      <c r="C9" s="5">
        <v>470.36</v>
      </c>
      <c r="D9" s="5">
        <v>3.544</v>
      </c>
      <c r="E9" s="5">
        <v>73.02</v>
      </c>
      <c r="F9" s="5">
        <v>0.0</v>
      </c>
      <c r="G9" s="5">
        <v>6.0</v>
      </c>
      <c r="H9" s="5">
        <v>6.0</v>
      </c>
      <c r="I9" s="5">
        <v>-4.976</v>
      </c>
      <c r="J9" s="5">
        <v>0.0</v>
      </c>
      <c r="K9" s="5">
        <v>4.8</v>
      </c>
      <c r="L9" s="3">
        <v>-5.801</v>
      </c>
      <c r="M9" s="4">
        <v>0.01118</v>
      </c>
      <c r="N9" s="2" t="s">
        <v>42</v>
      </c>
      <c r="O9" s="1">
        <v>0.509677978698164</v>
      </c>
      <c r="P9" s="1">
        <v>4697.93796539307</v>
      </c>
      <c r="Q9" s="1">
        <v>115.079720052083</v>
      </c>
      <c r="R9" s="1">
        <v>0.119138307869434</v>
      </c>
      <c r="S9" s="1">
        <v>0.00138942967168987</v>
      </c>
      <c r="T9" s="1">
        <v>0.0148074021562934</v>
      </c>
      <c r="U9" s="1">
        <v>1.48503913806053E-5</v>
      </c>
      <c r="V9" s="1">
        <v>1.48503913806053E-5</v>
      </c>
      <c r="W9" s="1">
        <v>3.418444E-6</v>
      </c>
      <c r="X9" s="1">
        <v>4.29035E-6</v>
      </c>
      <c r="Y9" s="1">
        <v>4.974834E-6</v>
      </c>
      <c r="Z9" s="1">
        <v>3.64058E-4</v>
      </c>
      <c r="AA9" s="1">
        <v>2.486731E-4</v>
      </c>
      <c r="AB9" s="1">
        <v>1.951485E-4</v>
      </c>
      <c r="AC9" s="4">
        <f t="shared" ref="AC9:AE9" si="12">DIVIDE(W9,Z9)</f>
        <v>0.009389833488</v>
      </c>
      <c r="AD9" s="4">
        <f t="shared" si="12"/>
        <v>0.01725297187</v>
      </c>
      <c r="AE9" s="4">
        <f t="shared" si="12"/>
        <v>0.02549255567</v>
      </c>
      <c r="AF9" s="4">
        <f t="shared" si="3"/>
        <v>1.45529194</v>
      </c>
      <c r="AG9" s="4">
        <f t="shared" si="4"/>
        <v>0.5360368403</v>
      </c>
      <c r="AH9" s="4">
        <f t="shared" si="5"/>
        <v>0.1242874976</v>
      </c>
      <c r="AI9" s="4">
        <f t="shared" si="6"/>
        <v>0.3447319989</v>
      </c>
    </row>
    <row r="10">
      <c r="A10" s="4" t="s">
        <v>57</v>
      </c>
      <c r="B10" s="4" t="s">
        <v>41</v>
      </c>
      <c r="C10" s="5">
        <v>485.466</v>
      </c>
      <c r="D10" s="5">
        <v>3.059</v>
      </c>
      <c r="E10" s="5">
        <v>82.25</v>
      </c>
      <c r="F10" s="5">
        <v>0.0</v>
      </c>
      <c r="G10" s="5">
        <v>7.0</v>
      </c>
      <c r="H10" s="5">
        <v>7.0</v>
      </c>
      <c r="I10" s="5">
        <v>-4.747</v>
      </c>
      <c r="J10" s="5">
        <v>0.0</v>
      </c>
      <c r="K10" s="5">
        <v>5.4</v>
      </c>
      <c r="L10" s="3">
        <v>-5.674</v>
      </c>
      <c r="M10" s="4">
        <v>0.02499</v>
      </c>
      <c r="N10" s="2" t="s">
        <v>42</v>
      </c>
      <c r="O10" s="1">
        <v>0.374472321709618</v>
      </c>
      <c r="P10" s="1">
        <v>3704.58769798279</v>
      </c>
      <c r="Q10" s="1">
        <v>122.091975911458</v>
      </c>
      <c r="R10" s="1">
        <v>0.144372463226318</v>
      </c>
      <c r="S10" s="1">
        <v>0.00153267232235521</v>
      </c>
      <c r="T10" s="1">
        <v>0.0115364724770188</v>
      </c>
      <c r="U10" s="1">
        <v>1.17639428935945E-5</v>
      </c>
      <c r="V10" s="1">
        <v>1.17639428935945E-5</v>
      </c>
      <c r="W10" s="1">
        <v>2.829451E-6</v>
      </c>
      <c r="X10" s="1">
        <v>3.39048E-6</v>
      </c>
      <c r="Y10" s="1">
        <v>3.863721E-6</v>
      </c>
      <c r="Z10" s="1">
        <v>4.362065E-4</v>
      </c>
      <c r="AA10" s="1">
        <v>2.855644E-4</v>
      </c>
      <c r="AB10" s="1">
        <v>2.212011E-4</v>
      </c>
      <c r="AC10" s="4">
        <f t="shared" ref="AC10:AE10" si="13">DIVIDE(W10,Z10)</f>
        <v>0.006486494355</v>
      </c>
      <c r="AD10" s="4">
        <f t="shared" si="13"/>
        <v>0.01187290853</v>
      </c>
      <c r="AE10" s="4">
        <f t="shared" si="13"/>
        <v>0.01746700627</v>
      </c>
      <c r="AF10" s="4">
        <f t="shared" si="3"/>
        <v>1.365537343</v>
      </c>
      <c r="AG10" s="4">
        <f t="shared" si="4"/>
        <v>0.507101797</v>
      </c>
      <c r="AH10" s="4">
        <f t="shared" si="5"/>
        <v>0.07990770691</v>
      </c>
      <c r="AI10" s="4">
        <f t="shared" si="6"/>
        <v>-0.5964070625</v>
      </c>
    </row>
    <row r="11">
      <c r="A11" s="4" t="s">
        <v>58</v>
      </c>
      <c r="B11" s="4" t="s">
        <v>59</v>
      </c>
      <c r="C11" s="5">
        <v>499.493</v>
      </c>
      <c r="D11" s="5">
        <v>3.194</v>
      </c>
      <c r="E11" s="5">
        <v>82.25</v>
      </c>
      <c r="F11" s="5">
        <v>0.0</v>
      </c>
      <c r="G11" s="5">
        <v>7.0</v>
      </c>
      <c r="H11" s="5">
        <v>8.0</v>
      </c>
      <c r="I11" s="5">
        <v>-4.853</v>
      </c>
      <c r="J11" s="5">
        <v>0.0</v>
      </c>
      <c r="K11" s="5">
        <v>5.4</v>
      </c>
      <c r="L11" s="3">
        <v>-5.634</v>
      </c>
      <c r="M11" s="4">
        <v>0.02</v>
      </c>
      <c r="N11" s="2" t="s">
        <v>42</v>
      </c>
      <c r="O11" s="1">
        <v>0.41803898056969</v>
      </c>
      <c r="P11" s="1">
        <v>3870.3773021698</v>
      </c>
      <c r="Q11" s="1">
        <v>115.179305013021</v>
      </c>
      <c r="R11" s="1">
        <v>0.134729012846947</v>
      </c>
      <c r="S11" s="1">
        <v>0.00149069831240922</v>
      </c>
      <c r="T11" s="1">
        <v>0.0098585095256567</v>
      </c>
      <c r="U11" s="1">
        <v>9.95921709545655E-6</v>
      </c>
      <c r="V11" s="1">
        <v>9.95921709545655E-6</v>
      </c>
      <c r="W11" s="1">
        <v>2.507962E-6</v>
      </c>
      <c r="X11" s="1">
        <v>2.965638E-6</v>
      </c>
      <c r="Y11" s="1">
        <v>3.360287E-6</v>
      </c>
      <c r="Z11" s="1">
        <v>4.162352E-4</v>
      </c>
      <c r="AA11" s="1">
        <v>2.698737E-4</v>
      </c>
      <c r="AB11" s="1">
        <v>2.088628E-4</v>
      </c>
      <c r="AC11" s="4">
        <f t="shared" ref="AC11:AE11" si="14">DIVIDE(W11,Z11)</f>
        <v>0.006025348169</v>
      </c>
      <c r="AD11" s="4">
        <f t="shared" si="14"/>
        <v>0.01098898485</v>
      </c>
      <c r="AE11" s="4">
        <f t="shared" si="14"/>
        <v>0.01608848967</v>
      </c>
      <c r="AF11" s="4">
        <f t="shared" si="3"/>
        <v>1.339847653</v>
      </c>
      <c r="AG11" s="4">
        <f t="shared" si="4"/>
        <v>0.5017903339</v>
      </c>
      <c r="AH11" s="4">
        <f t="shared" si="5"/>
        <v>0.0731728773</v>
      </c>
      <c r="AI11" s="4">
        <f t="shared" si="6"/>
        <v>-0.893970753</v>
      </c>
    </row>
    <row r="12">
      <c r="A12" s="4" t="s">
        <v>60</v>
      </c>
      <c r="B12" s="4" t="s">
        <v>61</v>
      </c>
      <c r="C12" s="5">
        <v>485.466</v>
      </c>
      <c r="D12" s="5">
        <v>3.117</v>
      </c>
      <c r="E12" s="5">
        <v>82.25</v>
      </c>
      <c r="F12" s="5">
        <v>0.0</v>
      </c>
      <c r="G12" s="5">
        <v>7.0</v>
      </c>
      <c r="H12" s="5">
        <v>8.0</v>
      </c>
      <c r="I12" s="5">
        <v>-4.718</v>
      </c>
      <c r="J12" s="5">
        <v>0.0</v>
      </c>
      <c r="K12" s="5">
        <v>5.4</v>
      </c>
      <c r="L12" s="3">
        <v>-5.481</v>
      </c>
      <c r="M12" s="4">
        <v>0.02271</v>
      </c>
      <c r="N12" s="2" t="s">
        <v>42</v>
      </c>
      <c r="O12" s="1">
        <v>0.389414752135053</v>
      </c>
      <c r="P12" s="1">
        <v>3805.67097663879</v>
      </c>
      <c r="Q12" s="1">
        <v>120.807340494792</v>
      </c>
      <c r="R12" s="1">
        <v>0.140744015574455</v>
      </c>
      <c r="S12" s="1">
        <v>0.0015145834768191</v>
      </c>
      <c r="T12" s="1">
        <v>0.0117086069658399</v>
      </c>
      <c r="U12" s="1">
        <v>1.19133346743183E-5</v>
      </c>
      <c r="V12" s="1">
        <v>1.19133346743183E-5</v>
      </c>
      <c r="W12" s="1">
        <v>2.856497E-6</v>
      </c>
      <c r="X12" s="1">
        <v>3.439956E-6</v>
      </c>
      <c r="Y12" s="1">
        <v>3.92702E-6</v>
      </c>
      <c r="Z12" s="1">
        <v>4.266133E-4</v>
      </c>
      <c r="AA12" s="1">
        <v>2.804013E-4</v>
      </c>
      <c r="AB12" s="1">
        <v>2.174512E-4</v>
      </c>
      <c r="AC12" s="4">
        <f t="shared" ref="AC12:AE12" si="15">DIVIDE(W12,Z12)</f>
        <v>0.006695752336</v>
      </c>
      <c r="AD12" s="4">
        <f t="shared" si="15"/>
        <v>0.01226797451</v>
      </c>
      <c r="AE12" s="4">
        <f t="shared" si="15"/>
        <v>0.0180593163</v>
      </c>
      <c r="AF12" s="4">
        <f t="shared" si="3"/>
        <v>1.374767766</v>
      </c>
      <c r="AG12" s="4">
        <f t="shared" si="4"/>
        <v>0.5097150042</v>
      </c>
      <c r="AH12" s="4">
        <f t="shared" si="5"/>
        <v>0.08319079797</v>
      </c>
      <c r="AI12" s="4">
        <f t="shared" si="6"/>
        <v>-0.5521393737</v>
      </c>
    </row>
    <row r="13">
      <c r="A13" s="4" t="s">
        <v>62</v>
      </c>
      <c r="B13" s="4" t="s">
        <v>63</v>
      </c>
      <c r="C13" s="5">
        <v>487.457</v>
      </c>
      <c r="D13" s="5">
        <v>3.402</v>
      </c>
      <c r="E13" s="5">
        <v>73.02</v>
      </c>
      <c r="F13" s="5">
        <v>0.0</v>
      </c>
      <c r="G13" s="5">
        <v>6.0</v>
      </c>
      <c r="H13" s="5">
        <v>7.0</v>
      </c>
      <c r="I13" s="5">
        <v>-4.927</v>
      </c>
      <c r="J13" s="5">
        <v>0.0</v>
      </c>
      <c r="K13" s="5">
        <v>4.8</v>
      </c>
      <c r="L13" s="3">
        <v>-6.195</v>
      </c>
      <c r="M13" s="4">
        <v>0.01416</v>
      </c>
      <c r="N13" s="2" t="s">
        <v>42</v>
      </c>
      <c r="O13" s="1">
        <v>0.461371906567365</v>
      </c>
      <c r="P13" s="1">
        <v>4427.46448516846</v>
      </c>
      <c r="Q13" s="1">
        <v>119.098429361979</v>
      </c>
      <c r="R13" s="1">
        <v>0.121405750513077</v>
      </c>
      <c r="S13" s="1">
        <v>0.00136516743805259</v>
      </c>
      <c r="T13" s="1">
        <v>0.015039486810565</v>
      </c>
      <c r="U13" s="1">
        <v>1.51840613398235E-5</v>
      </c>
      <c r="V13" s="1">
        <v>1.51840613398235E-5</v>
      </c>
      <c r="W13" s="1">
        <v>3.441894E-6</v>
      </c>
      <c r="X13" s="1">
        <v>4.324546E-6</v>
      </c>
      <c r="Y13" s="1">
        <v>5.017593E-6</v>
      </c>
      <c r="Z13" s="1">
        <v>3.680901E-4</v>
      </c>
      <c r="AA13" s="1">
        <v>2.509195E-4</v>
      </c>
      <c r="AB13" s="1">
        <v>1.961584E-4</v>
      </c>
      <c r="AC13" s="4">
        <f t="shared" ref="AC13:AE13" si="16">DIVIDE(W13,Z13)</f>
        <v>0.009350683433</v>
      </c>
      <c r="AD13" s="4">
        <f t="shared" si="16"/>
        <v>0.01723479443</v>
      </c>
      <c r="AE13" s="4">
        <f t="shared" si="16"/>
        <v>0.02557929204</v>
      </c>
      <c r="AF13" s="4">
        <f t="shared" si="3"/>
        <v>1.457799979</v>
      </c>
      <c r="AG13" s="4">
        <f t="shared" si="4"/>
        <v>0.5329086547</v>
      </c>
      <c r="AH13" s="4">
        <f t="shared" si="5"/>
        <v>0.1238778785</v>
      </c>
      <c r="AI13" s="4">
        <f t="shared" si="6"/>
        <v>0.4450375393</v>
      </c>
    </row>
    <row r="14">
      <c r="A14" s="4" t="s">
        <v>64</v>
      </c>
      <c r="B14" s="4" t="s">
        <v>65</v>
      </c>
      <c r="C14" s="5">
        <v>453.905</v>
      </c>
      <c r="D14" s="5">
        <v>3.281</v>
      </c>
      <c r="E14" s="5">
        <v>73.02</v>
      </c>
      <c r="F14" s="5">
        <v>0.0</v>
      </c>
      <c r="G14" s="5">
        <v>6.0</v>
      </c>
      <c r="H14" s="5">
        <v>7.0</v>
      </c>
      <c r="I14" s="5">
        <v>-4.642</v>
      </c>
      <c r="J14" s="5">
        <v>0.0</v>
      </c>
      <c r="K14" s="5">
        <v>5.4</v>
      </c>
      <c r="L14" s="3">
        <v>-4.834</v>
      </c>
      <c r="M14" s="4">
        <v>0.01732</v>
      </c>
      <c r="N14" s="2" t="s">
        <v>42</v>
      </c>
      <c r="O14" s="1">
        <v>0.422860437538475</v>
      </c>
      <c r="P14" s="1">
        <v>4207.00073242188</v>
      </c>
      <c r="Q14" s="1">
        <v>122.900374348958</v>
      </c>
      <c r="R14" s="1">
        <v>0.136773645877838</v>
      </c>
      <c r="S14" s="1">
        <v>0.00149230496026576</v>
      </c>
      <c r="T14" s="1">
        <v>0.0166058577597141</v>
      </c>
      <c r="U14" s="1">
        <v>1.68586393556325E-5</v>
      </c>
      <c r="V14" s="1">
        <v>1.68586393556325E-5</v>
      </c>
      <c r="W14" s="1">
        <v>3.781741E-6</v>
      </c>
      <c r="X14" s="1">
        <v>4.747941E-6</v>
      </c>
      <c r="Y14" s="1">
        <v>5.507494E-6</v>
      </c>
      <c r="Z14" s="1">
        <v>4.116269E-4</v>
      </c>
      <c r="AA14" s="1">
        <v>2.797848E-4</v>
      </c>
      <c r="AB14" s="1">
        <v>2.179238E-4</v>
      </c>
      <c r="AC14" s="4">
        <f t="shared" ref="AC14:AE14" si="17">DIVIDE(W14,Z14)</f>
        <v>0.009187302871</v>
      </c>
      <c r="AD14" s="4">
        <f t="shared" si="17"/>
        <v>0.01696997478</v>
      </c>
      <c r="AE14" s="4">
        <f t="shared" si="17"/>
        <v>0.02527256775</v>
      </c>
      <c r="AF14" s="4">
        <f t="shared" si="3"/>
        <v>1.456338232</v>
      </c>
      <c r="AG14" s="4">
        <f t="shared" si="4"/>
        <v>0.5294206963</v>
      </c>
      <c r="AH14" s="4">
        <f t="shared" si="5"/>
        <v>0.1214112386</v>
      </c>
      <c r="AI14" s="4">
        <f t="shared" si="6"/>
        <v>0.5499413074</v>
      </c>
    </row>
    <row r="15">
      <c r="A15" s="4" t="s">
        <v>66</v>
      </c>
      <c r="B15" s="4" t="s">
        <v>67</v>
      </c>
      <c r="C15" s="5">
        <v>465.504</v>
      </c>
      <c r="D15" s="5">
        <v>3.388</v>
      </c>
      <c r="E15" s="5">
        <v>73.02</v>
      </c>
      <c r="F15" s="5">
        <v>0.0</v>
      </c>
      <c r="G15" s="5">
        <v>6.0</v>
      </c>
      <c r="H15" s="5">
        <v>8.0</v>
      </c>
      <c r="I15" s="5">
        <v>-4.716</v>
      </c>
      <c r="J15" s="5">
        <v>0.0</v>
      </c>
      <c r="K15" s="5">
        <v>5.4</v>
      </c>
      <c r="L15" s="3">
        <v>-5.015</v>
      </c>
      <c r="M15" s="4">
        <v>0.0145</v>
      </c>
      <c r="N15" s="2" t="s">
        <v>42</v>
      </c>
      <c r="O15" s="1">
        <v>0.463814416434616</v>
      </c>
      <c r="P15" s="1">
        <v>4338.58919143677</v>
      </c>
      <c r="Q15" s="1">
        <v>116.431819661458</v>
      </c>
      <c r="R15" s="1">
        <v>0.129752844572067</v>
      </c>
      <c r="S15" s="1">
        <v>0.00147705792915076</v>
      </c>
      <c r="T15" s="1">
        <v>0.0135353859513998</v>
      </c>
      <c r="U15" s="1">
        <v>1.36408298203605E-5</v>
      </c>
      <c r="V15" s="1">
        <v>1.36408298203605E-5</v>
      </c>
      <c r="W15" s="1">
        <v>3.200833E-6</v>
      </c>
      <c r="X15" s="1">
        <v>3.951961E-6</v>
      </c>
      <c r="Y15" s="1">
        <v>4.553233E-6</v>
      </c>
      <c r="Z15" s="1">
        <v>3.966052E-4</v>
      </c>
      <c r="AA15" s="1">
        <v>2.665436E-4</v>
      </c>
      <c r="AB15" s="1">
        <v>2.081349E-4</v>
      </c>
      <c r="AC15" s="4">
        <f t="shared" ref="AC15:AE15" si="18">DIVIDE(W15,Z15)</f>
        <v>0.008070577491</v>
      </c>
      <c r="AD15" s="4">
        <f t="shared" si="18"/>
        <v>0.01482669627</v>
      </c>
      <c r="AE15" s="4">
        <f t="shared" si="18"/>
        <v>0.02187635519</v>
      </c>
      <c r="AF15" s="4">
        <f t="shared" si="3"/>
        <v>1.422515014</v>
      </c>
      <c r="AG15" s="4">
        <f t="shared" si="4"/>
        <v>0.5247911525</v>
      </c>
      <c r="AH15" s="4">
        <f t="shared" si="5"/>
        <v>0.1043166799</v>
      </c>
      <c r="AI15" s="4">
        <f t="shared" si="6"/>
        <v>-0.03888494711</v>
      </c>
    </row>
    <row r="16">
      <c r="A16" s="4" t="s">
        <v>68</v>
      </c>
      <c r="B16" s="4" t="s">
        <v>69</v>
      </c>
      <c r="C16" s="5">
        <v>470.36</v>
      </c>
      <c r="D16" s="5">
        <v>3.544</v>
      </c>
      <c r="E16" s="5">
        <v>73.02</v>
      </c>
      <c r="F16" s="5">
        <v>0.0</v>
      </c>
      <c r="G16" s="5">
        <v>6.0</v>
      </c>
      <c r="H16" s="5">
        <v>6.0</v>
      </c>
      <c r="I16" s="5">
        <v>-4.976</v>
      </c>
      <c r="J16" s="5">
        <v>0.0</v>
      </c>
      <c r="K16" s="5">
        <v>4.8</v>
      </c>
      <c r="L16" s="3">
        <v>-6.076</v>
      </c>
      <c r="M16" s="4">
        <v>0.01118</v>
      </c>
      <c r="N16" s="2" t="s">
        <v>42</v>
      </c>
      <c r="O16" s="1">
        <v>0.509677978698164</v>
      </c>
      <c r="P16" s="1">
        <v>4697.93796539307</v>
      </c>
      <c r="Q16" s="1">
        <v>115.079720052083</v>
      </c>
      <c r="R16" s="1">
        <v>0.119138307869434</v>
      </c>
      <c r="S16" s="1">
        <v>0.00138942967168987</v>
      </c>
      <c r="T16" s="1">
        <v>0.0148074021562934</v>
      </c>
      <c r="U16" s="1">
        <v>1.48503913806053E-5</v>
      </c>
      <c r="V16" s="1">
        <v>1.48503913806053E-5</v>
      </c>
      <c r="W16" s="1">
        <v>3.418444E-6</v>
      </c>
      <c r="X16" s="1">
        <v>4.29035E-6</v>
      </c>
      <c r="Y16" s="1">
        <v>4.974834E-6</v>
      </c>
      <c r="Z16" s="1">
        <v>3.64058E-4</v>
      </c>
      <c r="AA16" s="1">
        <v>2.486731E-4</v>
      </c>
      <c r="AB16" s="1">
        <v>1.951485E-4</v>
      </c>
      <c r="AC16" s="4">
        <f t="shared" ref="AC16:AE16" si="19">DIVIDE(W16,Z16)</f>
        <v>0.009389833488</v>
      </c>
      <c r="AD16" s="4">
        <f t="shared" si="19"/>
        <v>0.01725297187</v>
      </c>
      <c r="AE16" s="4">
        <f t="shared" si="19"/>
        <v>0.02549255567</v>
      </c>
      <c r="AF16" s="4">
        <f t="shared" si="3"/>
        <v>1.45529194</v>
      </c>
      <c r="AG16" s="4">
        <f t="shared" si="4"/>
        <v>0.5360368403</v>
      </c>
      <c r="AH16" s="4">
        <f t="shared" si="5"/>
        <v>0.1242874976</v>
      </c>
      <c r="AI16" s="4">
        <f t="shared" si="6"/>
        <v>0.4056160824</v>
      </c>
    </row>
    <row r="17">
      <c r="A17" s="4" t="s">
        <v>70</v>
      </c>
      <c r="B17" s="4" t="s">
        <v>71</v>
      </c>
      <c r="C17" s="5">
        <v>485.466</v>
      </c>
      <c r="D17" s="5">
        <v>3.166</v>
      </c>
      <c r="E17" s="5">
        <v>82.25</v>
      </c>
      <c r="F17" s="5">
        <v>0.0</v>
      </c>
      <c r="G17" s="5">
        <v>7.0</v>
      </c>
      <c r="H17" s="5">
        <v>8.0</v>
      </c>
      <c r="I17" s="5">
        <v>-4.748</v>
      </c>
      <c r="J17" s="5">
        <v>0.0</v>
      </c>
      <c r="K17" s="5">
        <v>5.4</v>
      </c>
      <c r="L17" s="3">
        <v>-5.136</v>
      </c>
      <c r="M17" s="4">
        <v>0.02095</v>
      </c>
      <c r="N17" s="2" t="s">
        <v>42</v>
      </c>
      <c r="O17" s="1">
        <v>0.402379228034988</v>
      </c>
      <c r="P17" s="1">
        <v>3894.81019973755</v>
      </c>
      <c r="Q17" s="1">
        <v>119.818318684896</v>
      </c>
      <c r="R17" s="1">
        <v>0.137716233730316</v>
      </c>
      <c r="S17" s="1">
        <v>0.00149888463784009</v>
      </c>
      <c r="T17" s="1">
        <v>0.0118557764217257</v>
      </c>
      <c r="U17" s="1">
        <v>1.20405056804884E-5</v>
      </c>
      <c r="V17" s="1">
        <v>1.20405056804884E-5</v>
      </c>
      <c r="W17" s="1">
        <v>2.879796E-6</v>
      </c>
      <c r="X17" s="1">
        <v>3.482135E-6</v>
      </c>
      <c r="Y17" s="1">
        <v>3.98094E-6</v>
      </c>
      <c r="Z17" s="1">
        <v>4.184777E-4</v>
      </c>
      <c r="AA17" s="1">
        <v>2.759908E-4</v>
      </c>
      <c r="AB17" s="1">
        <v>2.142558E-4</v>
      </c>
      <c r="AC17" s="4">
        <f t="shared" ref="AC17:AE17" si="20">DIVIDE(W17,Z17)</f>
        <v>0.006881599665</v>
      </c>
      <c r="AD17" s="4">
        <f t="shared" si="20"/>
        <v>0.01261685172</v>
      </c>
      <c r="AE17" s="4">
        <f t="shared" si="20"/>
        <v>0.01858031381</v>
      </c>
      <c r="AF17" s="4">
        <f t="shared" si="3"/>
        <v>1.382368751</v>
      </c>
      <c r="AG17" s="4">
        <f t="shared" si="4"/>
        <v>0.5119885719</v>
      </c>
      <c r="AH17" s="4">
        <f t="shared" si="5"/>
        <v>0.08608844506</v>
      </c>
      <c r="AI17" s="4">
        <f t="shared" si="6"/>
        <v>-0.5519896444</v>
      </c>
    </row>
    <row r="18">
      <c r="A18" s="4" t="s">
        <v>72</v>
      </c>
      <c r="B18" s="4" t="s">
        <v>73</v>
      </c>
      <c r="C18" s="5">
        <v>487.457</v>
      </c>
      <c r="D18" s="5">
        <v>3.395</v>
      </c>
      <c r="E18" s="5">
        <v>73.02</v>
      </c>
      <c r="F18" s="5">
        <v>0.0</v>
      </c>
      <c r="G18" s="5">
        <v>6.0</v>
      </c>
      <c r="H18" s="5">
        <v>6.0</v>
      </c>
      <c r="I18" s="5">
        <v>-4.989</v>
      </c>
      <c r="J18" s="5">
        <v>0.0</v>
      </c>
      <c r="K18" s="5">
        <v>4.8</v>
      </c>
      <c r="L18" s="3">
        <v>-5.621</v>
      </c>
      <c r="M18" s="4">
        <v>0.014328</v>
      </c>
      <c r="N18" s="2" t="s">
        <v>42</v>
      </c>
      <c r="O18" s="1">
        <v>0.459297909401357</v>
      </c>
      <c r="P18" s="1">
        <v>4413.52367401123</v>
      </c>
      <c r="Q18" s="1">
        <v>119.236173502604</v>
      </c>
      <c r="R18" s="1">
        <v>0.121767811477184</v>
      </c>
      <c r="S18" s="1">
        <v>0.00136743672192097</v>
      </c>
      <c r="T18" s="1">
        <v>0.0150145534425974</v>
      </c>
      <c r="U18" s="1">
        <v>1.51629301399225E-5</v>
      </c>
      <c r="V18" s="1">
        <v>1.51629301399225E-5</v>
      </c>
      <c r="W18" s="1">
        <v>3.437479E-6</v>
      </c>
      <c r="X18" s="1">
        <v>4.31736E-6</v>
      </c>
      <c r="Y18" s="1">
        <v>5.008521E-6</v>
      </c>
      <c r="Z18" s="1">
        <v>3.691078E-4</v>
      </c>
      <c r="AA18" s="1">
        <v>2.515044E-4</v>
      </c>
      <c r="AB18" s="1">
        <v>1.96577E-4</v>
      </c>
      <c r="AC18" s="4">
        <f t="shared" ref="AC18:AE18" si="21">DIVIDE(W18,Z18)</f>
        <v>0.009312940556</v>
      </c>
      <c r="AD18" s="4">
        <f t="shared" si="21"/>
        <v>0.01716614103</v>
      </c>
      <c r="AE18" s="4">
        <f t="shared" si="21"/>
        <v>0.02547867248</v>
      </c>
      <c r="AF18" s="4">
        <f t="shared" si="3"/>
        <v>1.457033192</v>
      </c>
      <c r="AG18" s="4">
        <f t="shared" si="4"/>
        <v>0.5325734108</v>
      </c>
      <c r="AH18" s="4">
        <f t="shared" si="5"/>
        <v>0.1233047819</v>
      </c>
      <c r="AI18" s="4">
        <f t="shared" si="6"/>
        <v>0.3031164053</v>
      </c>
    </row>
    <row r="19">
      <c r="A19" s="3" t="s">
        <v>74</v>
      </c>
      <c r="B19" s="2" t="s">
        <v>75</v>
      </c>
      <c r="C19" s="3">
        <v>401.47</v>
      </c>
      <c r="D19" s="3">
        <v>3.3</v>
      </c>
      <c r="E19" s="4">
        <v>73.02</v>
      </c>
      <c r="F19" s="4">
        <v>0.0</v>
      </c>
      <c r="G19" s="4">
        <v>6.0</v>
      </c>
      <c r="H19" s="4">
        <v>6.0</v>
      </c>
      <c r="I19" s="4">
        <v>-3.726</v>
      </c>
      <c r="J19" s="4">
        <v>0.0</v>
      </c>
      <c r="K19" s="3">
        <v>5.4</v>
      </c>
      <c r="L19" s="3">
        <v>-4.359</v>
      </c>
      <c r="M19" s="3">
        <v>0.0034</v>
      </c>
      <c r="N19" s="3" t="s">
        <v>76</v>
      </c>
      <c r="O19" s="1">
        <v>0.0143375973493676</v>
      </c>
      <c r="P19" s="1">
        <v>1251.873254776</v>
      </c>
      <c r="Q19" s="1">
        <v>1012.71940104167</v>
      </c>
      <c r="R19" s="1">
        <v>0.501574993133545</v>
      </c>
      <c r="S19" s="1">
        <v>0.00268605444580317</v>
      </c>
      <c r="T19" s="1">
        <v>0.0136732123792171</v>
      </c>
      <c r="U19" s="1">
        <v>1.54487152030924E-5</v>
      </c>
      <c r="V19" s="1">
        <v>1.54487152030924E-5</v>
      </c>
      <c r="W19" s="1">
        <v>3.326645E-6</v>
      </c>
      <c r="X19" s="1">
        <v>3.525686E-6</v>
      </c>
      <c r="Y19" s="1">
        <v>3.834698E-6</v>
      </c>
      <c r="Z19" s="1">
        <v>0.001101274</v>
      </c>
      <c r="AA19" s="1">
        <v>7.051805E-4</v>
      </c>
      <c r="AB19" s="1">
        <v>5.364337E-4</v>
      </c>
      <c r="AC19" s="4">
        <f t="shared" ref="AC19:AE19" si="22">DIVIDE(W19,Z19)</f>
        <v>0.003020724179</v>
      </c>
      <c r="AD19" s="4">
        <f t="shared" si="22"/>
        <v>0.004999692986</v>
      </c>
      <c r="AE19" s="4">
        <f t="shared" si="22"/>
        <v>0.007148503161</v>
      </c>
      <c r="AF19" s="4">
        <f t="shared" si="3"/>
        <v>1.152722337</v>
      </c>
      <c r="AG19" s="4">
        <f t="shared" si="4"/>
        <v>0.4871028463</v>
      </c>
      <c r="AH19" s="4">
        <f t="shared" si="5"/>
        <v>0.02726055439</v>
      </c>
      <c r="AI19" s="4">
        <f t="shared" si="6"/>
        <v>-2.013148944</v>
      </c>
    </row>
    <row r="22">
      <c r="AG22" s="1"/>
    </row>
    <row r="23">
      <c r="AG23" s="1"/>
    </row>
    <row r="24">
      <c r="AG24" s="1"/>
    </row>
    <row r="25">
      <c r="AG25" s="1"/>
    </row>
    <row r="26">
      <c r="AG26" s="1"/>
    </row>
    <row r="27">
      <c r="AG2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</row>
    <row r="2">
      <c r="A2" s="3" t="s">
        <v>40</v>
      </c>
      <c r="B2" s="3" t="s">
        <v>82</v>
      </c>
      <c r="C2" s="3">
        <v>-5.078</v>
      </c>
      <c r="D2" s="3" t="s">
        <v>83</v>
      </c>
      <c r="E2" s="3" t="s">
        <v>84</v>
      </c>
      <c r="F2" s="3" t="s">
        <v>85</v>
      </c>
    </row>
    <row r="3">
      <c r="A3" s="3" t="s">
        <v>43</v>
      </c>
      <c r="B3" s="3" t="s">
        <v>82</v>
      </c>
      <c r="C3" s="3">
        <v>-5.2</v>
      </c>
      <c r="D3" s="3" t="s">
        <v>86</v>
      </c>
      <c r="E3" s="3" t="s">
        <v>87</v>
      </c>
      <c r="F3" s="3" t="s">
        <v>88</v>
      </c>
    </row>
    <row r="4">
      <c r="A4" s="3" t="s">
        <v>45</v>
      </c>
      <c r="B4" s="3" t="s">
        <v>89</v>
      </c>
      <c r="C4" s="3">
        <v>-6.605</v>
      </c>
      <c r="D4" s="3" t="s">
        <v>90</v>
      </c>
      <c r="E4" s="3" t="s">
        <v>91</v>
      </c>
      <c r="F4" s="3" t="s">
        <v>92</v>
      </c>
    </row>
    <row r="5">
      <c r="A5" s="3" t="s">
        <v>47</v>
      </c>
      <c r="B5" s="3" t="s">
        <v>89</v>
      </c>
      <c r="C5" s="3">
        <v>-5.699</v>
      </c>
      <c r="D5" s="3" t="s">
        <v>93</v>
      </c>
      <c r="E5" s="3" t="s">
        <v>94</v>
      </c>
      <c r="F5" s="3" t="s">
        <v>95</v>
      </c>
    </row>
    <row r="6">
      <c r="A6" s="3" t="s">
        <v>96</v>
      </c>
      <c r="B6" s="3" t="s">
        <v>97</v>
      </c>
      <c r="C6" s="3" t="s">
        <v>89</v>
      </c>
      <c r="D6" s="3">
        <v>-5.699</v>
      </c>
      <c r="E6" s="3" t="s">
        <v>98</v>
      </c>
      <c r="F6" s="3" t="s">
        <v>99</v>
      </c>
      <c r="G6" s="3" t="s">
        <v>100</v>
      </c>
      <c r="H6" s="3" t="s">
        <v>101</v>
      </c>
      <c r="I6" s="3" t="s">
        <v>102</v>
      </c>
      <c r="J6" s="3" t="s">
        <v>103</v>
      </c>
    </row>
    <row r="7">
      <c r="A7" s="3" t="s">
        <v>96</v>
      </c>
      <c r="B7" s="3" t="s">
        <v>104</v>
      </c>
      <c r="C7" s="3" t="s">
        <v>89</v>
      </c>
      <c r="D7" s="3">
        <v>-5.459</v>
      </c>
      <c r="E7" s="3" t="s">
        <v>98</v>
      </c>
      <c r="F7" s="3" t="s">
        <v>105</v>
      </c>
      <c r="G7" s="3" t="s">
        <v>100</v>
      </c>
      <c r="H7" s="3" t="s">
        <v>106</v>
      </c>
      <c r="I7" s="3" t="s">
        <v>102</v>
      </c>
      <c r="J7" s="3" t="s">
        <v>107</v>
      </c>
    </row>
    <row r="8">
      <c r="A8" s="3" t="s">
        <v>96</v>
      </c>
      <c r="B8" s="3" t="s">
        <v>108</v>
      </c>
      <c r="C8" s="3" t="s">
        <v>89</v>
      </c>
      <c r="D8" s="3">
        <v>-5.5</v>
      </c>
      <c r="E8" s="3" t="s">
        <v>98</v>
      </c>
      <c r="F8" s="3" t="s">
        <v>109</v>
      </c>
      <c r="G8" s="3" t="s">
        <v>100</v>
      </c>
      <c r="H8" s="3" t="s">
        <v>110</v>
      </c>
      <c r="I8" s="3" t="s">
        <v>102</v>
      </c>
      <c r="J8" s="3" t="s">
        <v>111</v>
      </c>
    </row>
    <row r="9">
      <c r="A9" s="3" t="s">
        <v>96</v>
      </c>
      <c r="B9" s="3" t="s">
        <v>112</v>
      </c>
      <c r="C9" s="3" t="s">
        <v>89</v>
      </c>
      <c r="D9" s="3">
        <v>-5.801</v>
      </c>
      <c r="E9" s="3" t="s">
        <v>98</v>
      </c>
      <c r="F9" s="3" t="s">
        <v>113</v>
      </c>
      <c r="G9" s="3" t="s">
        <v>100</v>
      </c>
      <c r="H9" s="3" t="s">
        <v>114</v>
      </c>
      <c r="I9" s="3" t="s">
        <v>102</v>
      </c>
      <c r="J9" s="3" t="s">
        <v>115</v>
      </c>
    </row>
    <row r="10">
      <c r="A10" s="3" t="s">
        <v>57</v>
      </c>
      <c r="B10" s="3" t="s">
        <v>89</v>
      </c>
      <c r="C10" s="3">
        <v>-5.674</v>
      </c>
      <c r="D10" s="3" t="s">
        <v>116</v>
      </c>
      <c r="E10" s="3" t="s">
        <v>117</v>
      </c>
      <c r="F10" s="3" t="s">
        <v>118</v>
      </c>
    </row>
    <row r="11">
      <c r="A11" s="3" t="s">
        <v>58</v>
      </c>
      <c r="B11" s="3" t="s">
        <v>89</v>
      </c>
      <c r="C11" s="3">
        <v>-5.634</v>
      </c>
      <c r="D11" s="3" t="s">
        <v>119</v>
      </c>
      <c r="E11" s="3" t="s">
        <v>120</v>
      </c>
      <c r="F11" s="3" t="s">
        <v>121</v>
      </c>
    </row>
    <row r="12">
      <c r="A12" s="3" t="s">
        <v>60</v>
      </c>
      <c r="B12" s="3" t="s">
        <v>122</v>
      </c>
      <c r="C12" s="3">
        <v>-5.481</v>
      </c>
      <c r="D12" s="3" t="s">
        <v>123</v>
      </c>
      <c r="E12" s="3" t="s">
        <v>124</v>
      </c>
      <c r="F12" s="3" t="s">
        <v>125</v>
      </c>
    </row>
    <row r="13">
      <c r="A13" s="3" t="s">
        <v>62</v>
      </c>
      <c r="B13" s="3" t="s">
        <v>122</v>
      </c>
      <c r="C13" s="3">
        <v>-6.195</v>
      </c>
      <c r="D13" s="3" t="s">
        <v>126</v>
      </c>
      <c r="E13" s="3" t="s">
        <v>127</v>
      </c>
      <c r="F13" s="3" t="s">
        <v>128</v>
      </c>
    </row>
    <row r="14">
      <c r="A14" s="3" t="s">
        <v>64</v>
      </c>
      <c r="B14" s="3" t="s">
        <v>122</v>
      </c>
      <c r="C14" s="3">
        <v>-4.834</v>
      </c>
      <c r="D14" s="3" t="s">
        <v>129</v>
      </c>
      <c r="E14" s="3" t="s">
        <v>130</v>
      </c>
      <c r="F14" s="3" t="s">
        <v>131</v>
      </c>
    </row>
    <row r="15">
      <c r="A15" s="3" t="s">
        <v>132</v>
      </c>
      <c r="B15" s="3" t="s">
        <v>133</v>
      </c>
      <c r="C15" s="3" t="s">
        <v>122</v>
      </c>
      <c r="D15" s="3">
        <v>-5.015</v>
      </c>
      <c r="E15" s="3" t="s">
        <v>134</v>
      </c>
      <c r="F15" s="3" t="s">
        <v>135</v>
      </c>
      <c r="G15" s="3" t="s">
        <v>136</v>
      </c>
      <c r="H15" s="3" t="s">
        <v>137</v>
      </c>
      <c r="I15" s="3" t="s">
        <v>138</v>
      </c>
    </row>
    <row r="16">
      <c r="A16" s="3" t="s">
        <v>132</v>
      </c>
      <c r="B16" s="3" t="s">
        <v>139</v>
      </c>
      <c r="C16" s="3" t="s">
        <v>122</v>
      </c>
      <c r="D16" s="3">
        <v>-5.358</v>
      </c>
      <c r="E16" s="3" t="s">
        <v>140</v>
      </c>
      <c r="F16" s="3" t="s">
        <v>135</v>
      </c>
      <c r="G16" s="3" t="s">
        <v>141</v>
      </c>
      <c r="H16" s="3" t="s">
        <v>137</v>
      </c>
      <c r="I16" s="3" t="s">
        <v>142</v>
      </c>
    </row>
    <row r="17">
      <c r="A17" s="3" t="s">
        <v>132</v>
      </c>
      <c r="B17" s="3" t="s">
        <v>143</v>
      </c>
      <c r="C17" s="3" t="s">
        <v>122</v>
      </c>
      <c r="D17" s="3">
        <v>-5.52</v>
      </c>
      <c r="E17" s="3" t="s">
        <v>144</v>
      </c>
      <c r="F17" s="3" t="s">
        <v>135</v>
      </c>
      <c r="G17" s="3" t="s">
        <v>145</v>
      </c>
      <c r="H17" s="3" t="s">
        <v>137</v>
      </c>
      <c r="I17" s="3" t="s">
        <v>146</v>
      </c>
    </row>
    <row r="18">
      <c r="A18" s="3" t="s">
        <v>147</v>
      </c>
      <c r="B18" s="3" t="s">
        <v>148</v>
      </c>
      <c r="C18" s="3" t="s">
        <v>122</v>
      </c>
      <c r="D18" s="3">
        <v>-6.287</v>
      </c>
      <c r="E18" s="3" t="s">
        <v>149</v>
      </c>
      <c r="F18" s="3" t="s">
        <v>150</v>
      </c>
      <c r="G18" s="3" t="s">
        <v>151</v>
      </c>
      <c r="H18" s="3" t="s">
        <v>152</v>
      </c>
      <c r="I18" s="3" t="s">
        <v>153</v>
      </c>
    </row>
    <row r="19">
      <c r="A19" s="3" t="s">
        <v>147</v>
      </c>
      <c r="B19" s="3" t="s">
        <v>154</v>
      </c>
      <c r="C19" s="3" t="s">
        <v>122</v>
      </c>
      <c r="D19" s="3">
        <v>-6.222</v>
      </c>
      <c r="E19" s="3" t="s">
        <v>155</v>
      </c>
      <c r="F19" s="3" t="s">
        <v>150</v>
      </c>
      <c r="G19" s="3" t="s">
        <v>156</v>
      </c>
      <c r="H19" s="3" t="s">
        <v>152</v>
      </c>
      <c r="I19" s="3" t="s">
        <v>157</v>
      </c>
    </row>
    <row r="20">
      <c r="A20" s="3" t="s">
        <v>147</v>
      </c>
      <c r="B20" s="3" t="s">
        <v>158</v>
      </c>
      <c r="C20" s="3" t="s">
        <v>122</v>
      </c>
      <c r="D20" s="3">
        <v>-6.558</v>
      </c>
      <c r="E20" s="3" t="s">
        <v>159</v>
      </c>
      <c r="F20" s="3" t="s">
        <v>150</v>
      </c>
      <c r="G20" s="3" t="s">
        <v>160</v>
      </c>
      <c r="H20" s="3" t="s">
        <v>152</v>
      </c>
      <c r="I20" s="3" t="s">
        <v>161</v>
      </c>
    </row>
    <row r="21">
      <c r="A21" s="3" t="s">
        <v>132</v>
      </c>
      <c r="B21" s="3" t="s">
        <v>112</v>
      </c>
      <c r="C21" s="3" t="s">
        <v>122</v>
      </c>
      <c r="D21" s="3">
        <v>-6.076</v>
      </c>
      <c r="E21" s="3" t="s">
        <v>162</v>
      </c>
      <c r="F21" s="3" t="s">
        <v>135</v>
      </c>
      <c r="G21" s="3" t="s">
        <v>114</v>
      </c>
      <c r="H21" s="3" t="s">
        <v>137</v>
      </c>
      <c r="I21" s="3" t="s">
        <v>115</v>
      </c>
    </row>
    <row r="22">
      <c r="A22" s="3" t="s">
        <v>70</v>
      </c>
      <c r="B22" s="3" t="s">
        <v>122</v>
      </c>
      <c r="C22" s="3">
        <v>-5.136</v>
      </c>
      <c r="D22" s="3" t="s">
        <v>163</v>
      </c>
      <c r="E22" s="3" t="s">
        <v>164</v>
      </c>
      <c r="F22" s="3" t="s">
        <v>165</v>
      </c>
    </row>
    <row r="23">
      <c r="A23" s="3" t="s">
        <v>72</v>
      </c>
      <c r="B23" s="3" t="s">
        <v>122</v>
      </c>
      <c r="C23" s="3">
        <v>-5.621</v>
      </c>
      <c r="D23" s="3" t="s">
        <v>166</v>
      </c>
      <c r="E23" s="3" t="s">
        <v>167</v>
      </c>
      <c r="F23" s="3" t="s">
        <v>168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43"/>
    <col customWidth="1" min="3" max="3" width="14.86"/>
    <col customWidth="1" min="4" max="4" width="10.0"/>
    <col customWidth="1" min="5" max="26" width="8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6.29"/>
    <col customWidth="1" min="3" max="3" width="47.29"/>
    <col customWidth="1" min="4" max="4" width="47.0"/>
    <col customWidth="1" min="5" max="5" width="67.29"/>
    <col customWidth="1" min="6" max="26" width="8.43"/>
  </cols>
  <sheetData>
    <row r="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</row>
    <row r="2">
      <c r="A2" s="1" t="s">
        <v>174</v>
      </c>
      <c r="B2" s="1">
        <v>23.1010360717773</v>
      </c>
      <c r="C2" s="1">
        <v>0.0</v>
      </c>
      <c r="D2" s="1">
        <v>10.8575325012207</v>
      </c>
      <c r="E2" s="1">
        <v>24.8183269500732</v>
      </c>
    </row>
    <row r="3">
      <c r="A3" s="1" t="s">
        <v>175</v>
      </c>
      <c r="B3" s="1">
        <v>6.4920609375E13</v>
      </c>
      <c r="C3" s="1">
        <v>0.0</v>
      </c>
      <c r="D3" s="1">
        <v>3.0512814453125E13</v>
      </c>
      <c r="E3" s="1">
        <v>6.97466953125E13</v>
      </c>
    </row>
    <row r="4">
      <c r="A4" s="1" t="s">
        <v>176</v>
      </c>
      <c r="B4" s="1">
        <v>0.495456129312515</v>
      </c>
      <c r="C4" s="1">
        <v>0.0136732123792171</v>
      </c>
      <c r="D4" s="1">
        <v>0.239067822694778</v>
      </c>
      <c r="E4" s="1">
        <v>0.501574993133545</v>
      </c>
    </row>
    <row r="5">
      <c r="A5" s="1" t="s">
        <v>177</v>
      </c>
      <c r="B5" s="1">
        <v>1.39237548828125E12</v>
      </c>
      <c r="C5" s="1">
        <v>3.84256935119629E10</v>
      </c>
      <c r="D5" s="1">
        <v>6.71849914550781E11</v>
      </c>
      <c r="E5" s="1">
        <v>1.40957116699219E12</v>
      </c>
    </row>
    <row r="6">
      <c r="A6" s="1" t="s">
        <v>178</v>
      </c>
      <c r="B6" s="1">
        <v>0.00262826797552407</v>
      </c>
      <c r="C6" s="1">
        <v>1.54487152030924E-5</v>
      </c>
      <c r="D6" s="1">
        <v>0.00150614196900278</v>
      </c>
      <c r="E6" s="1">
        <v>0.00268605444580317</v>
      </c>
    </row>
    <row r="7">
      <c r="A7" s="1" t="s">
        <v>179</v>
      </c>
      <c r="B7" s="1">
        <v>7386195.18280029</v>
      </c>
      <c r="C7" s="1">
        <v>43415.3713285923</v>
      </c>
      <c r="D7" s="1">
        <v>4232695.57952881</v>
      </c>
      <c r="E7" s="1">
        <v>7548592.09060669</v>
      </c>
    </row>
    <row r="8">
      <c r="A8" s="1" t="s">
        <v>180</v>
      </c>
      <c r="B8" s="1">
        <v>2.77668557828292E-4</v>
      </c>
      <c r="C8" s="1">
        <v>1.54487152030924E-5</v>
      </c>
      <c r="D8" s="1">
        <v>1.3142914394848E-4</v>
      </c>
      <c r="E8" s="1">
        <v>2.77389888651669E-4</v>
      </c>
    </row>
    <row r="9">
      <c r="A9" s="1" t="s">
        <v>181</v>
      </c>
      <c r="B9" s="1">
        <v>0.0154034278239124</v>
      </c>
      <c r="C9" s="1" t="e">
        <v>#DIV/0!</v>
      </c>
      <c r="D9" s="1">
        <v>0.0327731140714604</v>
      </c>
      <c r="E9" s="1">
        <v>0.0143375973493676</v>
      </c>
    </row>
    <row r="10">
      <c r="A10" s="1" t="s">
        <v>182</v>
      </c>
      <c r="B10" s="1">
        <v>0.978552639484406</v>
      </c>
      <c r="C10" s="1" t="s">
        <v>183</v>
      </c>
      <c r="D10" s="1">
        <v>0.977981388568878</v>
      </c>
      <c r="E10" s="1">
        <v>0.979790151119232</v>
      </c>
    </row>
    <row r="11">
      <c r="A11" s="1" t="s">
        <v>184</v>
      </c>
      <c r="B11" s="1">
        <v>1351.46822916667</v>
      </c>
      <c r="C11" s="1" t="s">
        <v>183</v>
      </c>
      <c r="D11" s="1">
        <v>1340.57890625</v>
      </c>
      <c r="E11" s="1">
        <v>1455.23359375</v>
      </c>
    </row>
    <row r="12">
      <c r="A12" s="1" t="s">
        <v>185</v>
      </c>
      <c r="B12" s="1">
        <v>0.05</v>
      </c>
      <c r="C12" s="1">
        <v>24.0</v>
      </c>
      <c r="D12" s="1">
        <v>0.05</v>
      </c>
      <c r="E12" s="1">
        <v>0.05</v>
      </c>
    </row>
    <row r="13">
      <c r="A13" s="1" t="s">
        <v>186</v>
      </c>
      <c r="B13" s="1">
        <v>940.509440104167</v>
      </c>
      <c r="C13" s="1">
        <v>-22.4698527018229</v>
      </c>
      <c r="D13" s="1">
        <v>933.3494140625</v>
      </c>
      <c r="E13" s="1">
        <v>1012.71940104167</v>
      </c>
    </row>
    <row r="14">
      <c r="A14" s="1" t="s">
        <v>187</v>
      </c>
      <c r="B14" s="1">
        <v>1254.02545928955</v>
      </c>
      <c r="C14" s="1" t="e">
        <v>#DIV/0!</v>
      </c>
      <c r="D14" s="1">
        <v>2647.8157043457</v>
      </c>
      <c r="E14" s="1">
        <v>1256.87265396118</v>
      </c>
    </row>
    <row r="15">
      <c r="A15" s="1" t="s">
        <v>188</v>
      </c>
      <c r="B15" s="1">
        <v>1249.03464317322</v>
      </c>
      <c r="C15" s="1" t="s">
        <v>183</v>
      </c>
      <c r="D15" s="1">
        <v>2636.09671592712</v>
      </c>
      <c r="E15" s="1">
        <v>1251.873254776</v>
      </c>
    </row>
    <row r="17">
      <c r="A17" s="1" t="s">
        <v>169</v>
      </c>
      <c r="B17" s="1" t="s">
        <v>189</v>
      </c>
      <c r="C17" s="1" t="s">
        <v>190</v>
      </c>
      <c r="D17" s="1" t="s">
        <v>191</v>
      </c>
    </row>
    <row r="18">
      <c r="A18" s="1" t="s">
        <v>192</v>
      </c>
      <c r="B18" s="1" t="s">
        <v>193</v>
      </c>
      <c r="C18" s="1">
        <v>1251.873254776</v>
      </c>
      <c r="D18" s="1" t="s">
        <v>194</v>
      </c>
    </row>
    <row r="19">
      <c r="A19" s="1" t="s">
        <v>195</v>
      </c>
      <c r="B19" s="1" t="s">
        <v>193</v>
      </c>
      <c r="C19" s="1">
        <v>1256.87265396118</v>
      </c>
      <c r="D19" s="1" t="s">
        <v>194</v>
      </c>
    </row>
    <row r="20">
      <c r="A20" s="1" t="s">
        <v>196</v>
      </c>
      <c r="B20" s="1" t="s">
        <v>193</v>
      </c>
      <c r="C20" s="1">
        <v>0.0143375973493676</v>
      </c>
      <c r="D20" s="1" t="s">
        <v>197</v>
      </c>
    </row>
    <row r="21" ht="15.75" customHeight="1">
      <c r="A21" s="1" t="s">
        <v>198</v>
      </c>
      <c r="B21" s="1" t="s">
        <v>193</v>
      </c>
      <c r="C21" s="1">
        <v>1471.3147569367</v>
      </c>
      <c r="D21" s="1" t="s">
        <v>194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